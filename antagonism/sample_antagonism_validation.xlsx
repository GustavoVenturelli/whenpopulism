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517"/>
  <workbookPr defaultThemeVersion="124226"/>
  <mc:AlternateContent xmlns:mc="http://schemas.openxmlformats.org/markup-compatibility/2006">
    <mc:Choice Requires="x15">
      <x15ac:absPath xmlns:x15ac="http://schemas.microsoft.com/office/spreadsheetml/2010/11/ac" url="/Users/gventurelli/Documents/papers/tweets/venturelli et al 2026 replication data FINAL VERSION/antagonism/"/>
    </mc:Choice>
  </mc:AlternateContent>
  <xr:revisionPtr revIDLastSave="0" documentId="13_ncr:1_{1AF8C5C0-BDBD-DA48-9EBB-409994A134EE}" xr6:coauthVersionLast="47" xr6:coauthVersionMax="47" xr10:uidLastSave="{00000000-0000-0000-0000-000000000000}"/>
  <bookViews>
    <workbookView xWindow="240" yWindow="780" windowWidth="29960" windowHeight="20060" xr2:uid="{00000000-000D-0000-FFFF-FFFF00000000}"/>
  </bookViews>
  <sheets>
    <sheet name="Sheet1" sheetId="1" r:id="rId1"/>
  </sheets>
  <definedNames>
    <definedName name="_xlnm._FilterDatabase" localSheetId="0" hidden="1">Sheet1!$A$1:$BH$130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3" i="1" l="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2" i="1"/>
</calcChain>
</file>

<file path=xl/sharedStrings.xml><?xml version="1.0" encoding="utf-8"?>
<sst xmlns="http://schemas.openxmlformats.org/spreadsheetml/2006/main" count="1610" uniqueCount="220">
  <si>
    <t>policy_reduced</t>
  </si>
  <si>
    <t>index_banco</t>
  </si>
  <si>
    <t>date</t>
  </si>
  <si>
    <t>year_month</t>
  </si>
  <si>
    <t>year</t>
  </si>
  <si>
    <t>month</t>
  </si>
  <si>
    <t>trimester</t>
  </si>
  <si>
    <t>username</t>
  </si>
  <si>
    <t>ideology</t>
  </si>
  <si>
    <t>ideology_cluster</t>
  </si>
  <si>
    <t>text</t>
  </si>
  <si>
    <t>ae</t>
  </si>
  <si>
    <t>pc</t>
  </si>
  <si>
    <t>populism</t>
  </si>
  <si>
    <t>predicted_label</t>
  </si>
  <si>
    <t>predicted_prob</t>
  </si>
  <si>
    <t>predicted_label_final</t>
  </si>
  <si>
    <t>macroeconomics</t>
  </si>
  <si>
    <t>civil_rights</t>
  </si>
  <si>
    <t>health</t>
  </si>
  <si>
    <t>agriculture</t>
  </si>
  <si>
    <t>labor_employment</t>
  </si>
  <si>
    <t>education</t>
  </si>
  <si>
    <t>environment</t>
  </si>
  <si>
    <t>energy</t>
  </si>
  <si>
    <t>immigration</t>
  </si>
  <si>
    <t>transportation</t>
  </si>
  <si>
    <t>law_crime</t>
  </si>
  <si>
    <t>social_welfare</t>
  </si>
  <si>
    <t>housing_issues</t>
  </si>
  <si>
    <t>banking_finance</t>
  </si>
  <si>
    <t>defense</t>
  </si>
  <si>
    <t>science_tech</t>
  </si>
  <si>
    <t>foreign_trade</t>
  </si>
  <si>
    <t>international_affairs</t>
  </si>
  <si>
    <t>government_operations</t>
  </si>
  <si>
    <t>lands_water</t>
  </si>
  <si>
    <t>culture</t>
  </si>
  <si>
    <t>none</t>
  </si>
  <si>
    <t>policy</t>
  </si>
  <si>
    <t>word_count</t>
  </si>
  <si>
    <t>days_to_election_pre</t>
  </si>
  <si>
    <t>max_days</t>
  </si>
  <si>
    <t>proximity_score</t>
  </si>
  <si>
    <t>week</t>
  </si>
  <si>
    <t>pop_prop_all_week</t>
  </si>
  <si>
    <t>.groups</t>
  </si>
  <si>
    <t>pop_prop_week</t>
  </si>
  <si>
    <t>pop_avg</t>
  </si>
  <si>
    <t>ideology_cluster2</t>
  </si>
  <si>
    <t>ideology_cluster3</t>
  </si>
  <si>
    <t>left</t>
  </si>
  <si>
    <t>center</t>
  </si>
  <si>
    <t>period</t>
  </si>
  <si>
    <t>campaign</t>
  </si>
  <si>
    <t>ideology_cluster4</t>
  </si>
  <si>
    <t>pop_partial</t>
  </si>
  <si>
    <t>2022-02</t>
  </si>
  <si>
    <t>Felipe Davila</t>
  </si>
  <si>
    <t>Right</t>
  </si>
  <si>
    <t>Agora são os juízes pedindo aumento. Uma das classes mais bem pagas e privilegiadas do &lt;U+0001F1E7&gt;&lt;U+0001F1F7&gt;.
Vão acionar o STF em busca de salários de até R$ 54,8 mil.
Enquanto isso: 
- A renda média do brasileiro caiu 3,4%.
- 12 milhões estão desempregados.
E são eles que pagam esse aumento.</t>
  </si>
  <si>
    <t>drop</t>
  </si>
  <si>
    <t>Regular Politics</t>
  </si>
  <si>
    <t>2022-08</t>
  </si>
  <si>
    <t>jairbolsonaro</t>
  </si>
  <si>
    <t>- O Brasil do presente deixou de servir a esses regimes ultrapassados. Hoje servimos ao nosso povo! O dinheiro público, que na verdade é dos brasileiros, quando não devolvido através de reduções de impostos, é usado para desenvolver o nosso país e não mais sustentar ditaduras.</t>
  </si>
  <si>
    <t>Campaign</t>
  </si>
  <si>
    <t>2022-09</t>
  </si>
  <si>
    <t>Sofia Manzano</t>
  </si>
  <si>
    <t>Left</t>
  </si>
  <si>
    <t>Imagina se dizer do lado do povo negro, trabalhador, LGBT, favelado e faminto, das mulheres mortas e criminalizadas pela lei anti-drogas e criminalizazada pelo aborto, dos indígenas e quilombolas e...
Estar montando o ministério com a direita fascista. 
Não nós, os comunistas.</t>
  </si>
  <si>
    <t>2022-03</t>
  </si>
  <si>
    <t>@salimmattarbr Políticos como Lula não têm apreço algum pelo dinheiro dos pagadores de impostos.
Acham que os recursos públicos são infinitos.</t>
  </si>
  <si>
    <t>Ciro Gomes</t>
  </si>
  <si>
    <t>Center</t>
  </si>
  <si>
    <t>Vimos nesse debate tudo o que venho alertando aos brasileiros. Brigas despolitizadas, em que Bolsonaro e Lula discutem para ver qual dos dois é o mais corrupto e não debatem uma proposta para o país. Eu quero livrar nosso povo dessa bola de chumbo que nos prende ao passado.</t>
  </si>
  <si>
    <t>2022-12</t>
  </si>
  <si>
    <t>O governo foi uma verdadeira mãe para os "campeões nacionais".
O PT concedeu diversos privilégios, como os empréstimos subsidiados. Mais tarde, várias dessas empresas foram condenadas após investigações de corrupção. 
O resultado foi péssimo e custou caro para toda a população.</t>
  </si>
  <si>
    <t>2022-05</t>
  </si>
  <si>
    <t>LulaOficial</t>
  </si>
  <si>
    <t>Nossa soberania e democracia são constantemente atacadas pela política irresponsável e criminosa do atual governo. Desmontam, sucateiam e colocam à venda nossas empresas mais estratégicas. Entregam de mão beijada o patrimônio do povo brasileiro #VamosJuntosPeloBrasil</t>
  </si>
  <si>
    <t>Pre-Campaign</t>
  </si>
  <si>
    <t>Vera Lucia</t>
  </si>
  <si>
    <t>@universitariia @GabrielMacedo Pessoa que diz que vai resolver o problema dos trabalhadores e se alia com a burguesia &amp;gt;&amp;gt;&amp;gt; Diabo</t>
  </si>
  <si>
    <t>2022-04</t>
  </si>
  <si>
    <t>@YodaProgress Já rolou! Hahahha
Já estão me chamando de cada coisa!
Nossa firmeza mete muito medo. Querem desesperadamente vender a frente amplíssima com a burguesia como única opção.
Essa adoração ao Lula e aos governos do PT apenas beneficia a lógica que elegeu o Bolsonaro.</t>
  </si>
  <si>
    <t>Soraya Thronicke</t>
  </si>
  <si>
    <t>A população não merece reviver todas as mentiras e a corrupção instauradas nos governos do PT, e nem merece permanecer no atraso. Não deixe a corrupção voltar ao poder! Nós somos a opção.</t>
  </si>
  <si>
    <t>2022-01</t>
  </si>
  <si>
    <t>É meio "clichê" falar isso. Mas o Estado brasileiro é um Robin Wood ao contrário. Tira de toda a sociedade, através de impostos, pra beneficiar um punhadinho de grandes empresários com isenções fiscais. Enquanto isso o desemprego, ó, só dispara!</t>
  </si>
  <si>
    <t>2022-07</t>
  </si>
  <si>
    <t>O que os liberais não defendem é que se crie um benefício eleitoreiro, que estoura as contas públicas e deixa o rombo para o brasileiro pagar depois das eleições. 
Cada vez mais o governo Bolsonaro se parece com o governo Dilma. 
É o BolsoDilma!</t>
  </si>
  <si>
    <t>A tarefa do presente e do futuro não é só derrotar o fascismo bolsonarista. Mas construir uma nova ordem econômica que nos liberte das garras dos sanguessugas que chupam o sangue do povo juntos com seus paus-mandados da política.</t>
  </si>
  <si>
    <t>O @antonionetopdt na #CiroGames: Bolsonaro chegou e acabou com o ministério do trabalho e, depois, recriou para gerar mais um monte de cargos para o centrão. Mas a prática dele é isolar os trabalhadores e sindicatos, tirando direitos e mais direitos.</t>
  </si>
  <si>
    <t>Quem realmente enfrenta o projeto Doria PSDB em São Paulo é @colombopcb para o governo e no Brasil é Sofia Manzano 21
Não se enfrenta o fascismo em aliança com quem só fez retroceder as condições de vida da classe trabalhadora. 
#pcbnaeleicao 
#DebateNaCultura</t>
  </si>
  <si>
    <t>DERROTAR BOLSONARO E SEU PROJETO DE DITADURA!
LULA e ALCKIMIN NÃO É SOLUÇÃO! 
Apoie nossa pré-candidatura OPERÁRIA, REVOLUCIONÁRIA E SOCIALISTA!
Vera é revolução pra valer,
é trabalhadores e o povo pobre no poder!</t>
  </si>
  <si>
    <t>Daniel Silveira agiu para instituir uma ditadura que acabaria com a liberdade de expressão para a classe trabalhadora. 
O indulto de Bolsonaro é a defesa da ditadura. 
Confiança apenas na luta da classe trabalhadora para derrotar essa corja golpista.
#ForaBolsonaro</t>
  </si>
  <si>
    <t>Eu falei que a culpa é do Bolsonaro. Ele quer a tristeza, o desespero e o medo dos brasileiros para continuar com a ladainha do golpe. 
Esperou o Brasil ser eliminado para falar, depois do derrota eleitoral. 
Deve ter torcido muito pela derrota. 
#AnistiaNão.
#Bolsonaronacadeia</t>
  </si>
  <si>
    <t>O Lula e o PT concentraram na mão de apenas 5 bancos, 85% de todas as transações financeiras do Brasil! Ou seja, de 5 bancos, 4 já estão como os mais rentáveis  de 10  do mundo. Meu irmão, é o maior assalto a mão desarmada que a humanidade já conheceu em todos os tempos.</t>
  </si>
  <si>
    <t>Será que Lula e Bolsonaro são opostos?
Ambos trabalham para minar a credibilidade das instituições democráticas, os dois criticam o Judiciário e o Legislativo. 
Os populistas se acham os únicos legítimos defensores da vontade popular. Isso é uma total mentira.</t>
  </si>
  <si>
    <t>2022-10</t>
  </si>
  <si>
    <t>Bolsonaro está armando a ultra direita com os CACs, milícias e tudo mais como Roberoto Jeferson.  Tem nada a ver com segurança pública, é arma para os ricos e seus defensores. Os trabalhadores tem que organizar sua autodefesa.
#Eleicoes2022 #DebateNaGlobo</t>
  </si>
  <si>
    <t>Depois de passarem quase quatro anos sem fazerem nada do que deviam, eles começam agora a propor diminuição de impostos, auxílios generosos e outras piroctenias. Todas confusas e com efeitos colaterais. O povo não é trouxa e sabe que debaixo deste angu tem muita enganação.</t>
  </si>
  <si>
    <t>NÃO É SÓ POR ISSO NÃO, LULA! É porque você, Dilma, Temer e Bolsonaro mantiveram o mesmo modelo econômico que explora o povo, esmaga quem produz e dá privilégios absurdos aos banqueiros.</t>
  </si>
  <si>
    <t>2023-01</t>
  </si>
  <si>
    <t>Quero conhecer mais os trabalhadores que estão todos os dias com a gente no Palácio do Planalto e reergueram esse que é um patrimônio do povo brasileiro. Só posso agradecer, do fundo do coração, pelo empenho que tiveram.</t>
  </si>
  <si>
    <t>-Inf</t>
  </si>
  <si>
    <t>- De toda forma, agradeço por terem rasgado a fantasia e se unido para tentar salvar o sistema podre que criaram e impedir que o povo brasileiro perceba que o Brasil só não crescia porque eles não queriam. Nós vamos derrubar todos de uma vez só e enfim transformar o nosso país!</t>
  </si>
  <si>
    <t>Após férias e desprezo à catástrofe que acometeu o povo baiano, Bolsonaro está internado. Ele terá o melhor tratamento possível que o dinheiro pode comprar, diferente das centenas de milhares que morreram em UTI's super lotadas por sua política genocida em relação à COVID-19.</t>
  </si>
  <si>
    <t>Mais uma mutreta do genocida! 
Bolsonaro usou o dinheiro auxílio a famílias pobres para comprar trator para seus aliados políticos. Além de compras de caminhões de lixo superfaturados! 
Esse Governo é BOLSOLAO DO LIXO. 
Bolsonaro é POBRE NAO, TRATOR SIM !
#ForaBolsonaro</t>
  </si>
  <si>
    <t>Rui Costa sendo cotado para futuro ministro da economia do possível futuro governo Lula só demonstra o porquê nossa pré candidatura é fundamental para o país. 
Rui Costa é um governador neoliberal, destruidor do setor público, apoiador da agenda conservadora. Segue</t>
  </si>
  <si>
    <t>Chantagem do corporativismo para extorquir o brasileiro: sindicalistas do Banco Central ameaçam interromper funcionamento do PIX por reajuste salarial.
Lembrando: um analista do BC ganha R$ 26 mil só de salário.
O &lt;U+0001F1E7&gt;&lt;U+0001F1F7&gt; não pode continuar refém dessa elite!</t>
  </si>
  <si>
    <t>Enquanto o PT faz discurso de esquerda, desertou da sua tarefa histórica que tinha e usurpou a crença do povo brasileiro na luta pela mudança e pela justiça. Nesse período, o Brasil produziu uma das mais perversas distribuições de renda do mundo.</t>
  </si>
  <si>
    <t>O meu serviço é pesado, por quê? Chegar para um povo machucado e sofrido como o nosso e dizer: meu irmão, deixa que eu chuto, passa a bola que se eu chegar lá o paraíso vai descer pra terra, isso é de uma mentira grosseira que vai afundar o Lula. #CiroNoAvesso</t>
  </si>
  <si>
    <t>Um crime praticado pela Justiça, o prefeito Cury, governador Alckimin e a presidente Dilma, a pedido de Naji Nahas.
O sossego da classe trabalhadora só vira com a expropriação da propriedade privada.</t>
  </si>
  <si>
    <t>Leonardo Pericles</t>
  </si>
  <si>
    <t>O povo nordestino, que é em sua imensa maioria trabalhadores, negros, indígenas, mulheres, precisa organizar as lutas e denunciar o fascismo e atraso que representam o governo fascista.
#ForaBolsonaro
Repostado do Instagram de @samaramartinsup</t>
  </si>
  <si>
    <t>O Brasil não pode ser refém do patrimonialismo, do fisiologismo e dos acordões. 
O nosso país não irá avançar sem um Congresso que honre com as suas atribuições institucionais. 
O futuro dos brasilerios, mais uma vez, está servindo de moeda de troca de poder.</t>
  </si>
  <si>
    <t>Você, Bolsonaro, denunciou a ladroeira desse povo e hoje tá completamente vendido. Vá pro debate e deixa de ser frouxo. Deixa de bancar o valentão e de se esconder atrás de sua turma. Tá com medo dizendo que sou grosseiro? Eu só sou grosseiro com genocidas e corruptos como você.</t>
  </si>
  <si>
    <t>Criaram o maior esquema de corrupção que o Brasil já viu, aparelharam as instituições políticas e corromperam todo o sistema da democracia brasileira.
Agora querem mais... Eu e o @TiagoMitraud entramos nessa campanha para que o brasileiro não precise escolher o menos pior.</t>
  </si>
  <si>
    <t>Não podemos ter um governo que brinca com o país. O atual presidente não conversa com o povo, não conversa com mulheres, movimentos sociais, com empresários sérios. Não conversa com ninguém que respeite os sonhos do povo.</t>
  </si>
  <si>
    <t>... a situação não se resolve pq quem "manda" mantém uma estrutura de sociedade q o q pode ser feito é remediar, atenuar, mas nunca resolver. A solução se encontra na disputa do poder! A maioria deve governar de verdade! O poder popular e o socialismo é cabalmente atual! #chuvas</t>
  </si>
  <si>
    <t>Lula no JN mostrou mais uma vez que seu projeto é seguir atendendo aos interesses da burguesia. Não tem como colocar o pobre no orçamento se aliando aos ricos, com aqueles que nos exploram!
Queremos derrotar Bolsonaro e também o sistema capitalista que o sustenta! Vem de Vera!</t>
  </si>
  <si>
    <t>O candidato do Partido "Novo" defende o que há de mais velho: mais capitalismo 
Venham conhecer uma candidatura dos trabalhadores sem aliança com os ricos para enfrentar esse sistema capitalista!
#DebateNaBand</t>
  </si>
  <si>
    <t>Absurdo!
A Câmara Federal aprovou um PL que permite mais gastos com publicidade mesmo em ano eleitoral.
Em um país com 12 milhões de desempregados, é revoltante ver o pagador de impostos ser obrigado a bancar ainda mais gastos inúteis com propaganda.
O Estado serve a quem?</t>
  </si>
  <si>
    <t>Ninguém tem direito de explorar o jeito do povo adorar a Deus. Ontem vimos a presidente do PT postando: "Bolsonaro usa Deus, Deus usa Lula". Veja, agora estamos disputando quem é o autorreferido intérprete de Deus em uma disputa eleitoral. Isso é de uma violência absurda.</t>
  </si>
  <si>
    <t>2022-06</t>
  </si>
  <si>
    <t>- A questão da liberdade econômica era uma das dificuldades recentes do nosso País, cuja burocracia pesava cada vez mais sobre as costas dos trabalhadores devido a grupos de interesse político e ideológico. @govbrazil</t>
  </si>
  <si>
    <t>A PEC Kamikaze é uma aberração.
O que o Senado e o Governo fizeram foi uma irresponsabilidade sem tamanho.
Ninguém tem o menor apreço pela Constituição e zelo pelas contas públicas.
É populismo eleitoral na veia às custas dos mais pobres e de mais inflação.
Vergonhoso.</t>
  </si>
  <si>
    <t>Bolsonaro desequilibrado 
Nervoso 
Gritando 
Só fala de explorar: niobio, urânio, o povo. 
Governo de destruição nacional. 
#DebateNaGlobo</t>
  </si>
  <si>
    <t>Não questionam o fato de o Brasil vir adotando, há 30 anos, um modelo político baseado no conchavo, na corrupção e no toma lá dá cá; e de vir prologando a vida de um modelo econômico que entrega a riqueza do país para quem já tem muito e distribui migalhas para quem tem pouco.</t>
  </si>
  <si>
    <t>Lula e Bolsonaro recorrerem aos atalhos da demagogia e do discurso ideológico-partidário, que apenas desviam a atenção dos reais problemas.
Não vamos deixar. Nós brasileiros temos pressa para soluções reais.
E o Brasil tem urgência em voltar a crescer.</t>
  </si>
  <si>
    <t>de vida dos mais pobres, gera desindustrialização e desemprego  
Porém, aumenta os ganhos dos especuladores, internos e externos. 
É possível controlar a inflação sem prejudicar os trabalhadores, basta ter um projeto que não visa apenas a classe dominante.
#PoderPopular</t>
  </si>
  <si>
    <t>@UOLNoticias Não são apenas tragédias estatais, são tragédias do capitalismo. São estatais enquanto o Estado está a serviço quase exclusivo do capital. Demonizar o setor público sem denunciar a quem ele serve desmonta as possibilidades de poder popular para mudar a situação.</t>
  </si>
  <si>
    <t>é contra a economia de mercado e a favor do capitalismo de Estado; é o arquiteto do maior esquema de corrupção do Brasil, o Petrolão.
Achar que um partido e um pré-candidato com esse passado desastroso podem tirar o Brasil do alto desemprego e da miséria é delírio político.</t>
  </si>
  <si>
    <t>O povo está precisando de trabalho decente. A gente não quer fazer bico. A gente quer ser tratado como cidadão. Vamos legalizar a profissão de quem trabalha na moto. E não vamos fazer motociata com as motos dos ricos, vamos fazer motociata com os entregadores de aplicativos.</t>
  </si>
  <si>
    <t>other</t>
  </si>
  <si>
    <t>As chacinas e assassinatos estão se tornando cada vez mais comuns. Isso não é um fato isolado. Querem impor uma ditadura p/ continuar impondo os salários de miséria e aumento da exploração. E p/ impedir a revolta popular, tentam impor o medo p/ mostrar "quem manda".
Segue o fio&lt;U+0001F9F6&gt;</t>
  </si>
  <si>
    <t>A @UP80BR é uma das organizações políticas que defende a permanência do povo nas ruas para a derrubada do genocida e de todos os milicos que se beneficiam de seus mandos. Bolsonaro ri da cara do povo brasileiro que sofre diariamente com a alta do preço dos gás e dos alimentos.</t>
  </si>
  <si>
    <t>Simone Tebet</t>
  </si>
  <si>
    <t>Precisamos falar do Brasil real, que ainda chora a morte prematura dos seus filhos pela incompetência de um governo omisso e que não colocou vacina no braço dos brasileiros. Nosso povo está doente e morre prematuramente, pois não há vaga no SUS. +</t>
  </si>
  <si>
    <t>O ataque do fascista Roberto Jeferson a uma policial é covarde e absurdo, temos que denunciá-lo mas não perder de perspectiva que Guedes e o genocida querem tirar o reajuste do salário mínimo e piorar a vida de milhões de trabalhadores e aposentados. #ForaBolsonaroGenocida</t>
  </si>
  <si>
    <t>Para melhorar a qualidade de vida do povo; garantir comida no prato; emprego aos desempregados; moradia aos sem-teto; terra a quem precisa plantar; é preciso enfrentar os super-ricos. Por isso, defendemos: [5]</t>
  </si>
  <si>
    <t>As pessoas estão preocupadas em sobreviver economicamente, em pagar boleto. A escolha, hoje, é qual boleto pagar. Isso é fruto do populismo, que torna refém o cidadão brasileiro.</t>
  </si>
  <si>
    <t>Vamos olhar a situação: de 2010 a 2020, o PIB do mundo cresceu 32% e o do Brasil 2,5%. 
Olha o desastre que é o populismo: afeta o bolso das pessoas e afeta os negócios.</t>
  </si>
  <si>
    <t>O candidato do Novo defende o capitalismo mas reclama que há desperdício de comida. Pois é... os latifundiários preferem jogar fora para especular com o preço do que alimentar o povo com produtos baratos. Está aí seu mercado!
#DebateNaBand</t>
  </si>
  <si>
    <t>O que está fracassando no Brasil é a política e o que tá errado, está errado pra proteger uma minoria de privilegiados que têm conseguido engessar as instituições pra eternizar a miséria, a informalidade selvagem e uma das maiores concentrações de renda do mundo. #CiroNoRodaViva</t>
  </si>
  <si>
    <t>Ele está desesperado. São milhares de fake news enviadas para as pessoas todos os dias. É uma máquina poderosa de contar mentira. Derrotar Bolsonaro é uma questão de honra do povo brasileiro, dos que querem democracia e verdade. #LulaInRio</t>
  </si>
  <si>
    <t>O dinheiro pra financiar o desenvolvimento brasileiro está no bolso de uma minoria de poderosos, mas nós temos um modelo para cobrar tributos que diminui a cobrança em cima do povo trabalhador e aumenta a tributação sobre os super-ricos.</t>
  </si>
  <si>
    <t>@HadrianoFF Somos críticos ao imperialismo norte americano e nos opomos em todos os movimentos no qual eles desrespeitaram a autonomia de um povo.
Incoerente seria defender Putin quando ele faz a mesma coisa.
A Ucrânia tem o direito de existir sem depender nem de OTAN nem desse ditador.</t>
  </si>
  <si>
    <t>Lula já recebeu R$ 66,7 milhões de Fundão Eleitoral.
Hoje, mais de 125 milhões de brasileiros não sabem se vão conseguir fazer três refeições no dia. 
Mesmo assim, Lula usará nosso dinheiro para pregar suas mentiras e tentar voltar ao poder. É este que defende os mais pobres?</t>
  </si>
  <si>
    <t>E como assim não houve corrupção no Ministério da Saúde? O genocida esqueceu do escândalo da propina de um dólar por dose de vacina? Pelo menos 400 mil brasileiros morreram por causa do descaso do governo!
#DebateNaGlobo #Lula13</t>
  </si>
  <si>
    <t>Que tipo de pessoa deseja que estudantes sejam queimados vivos? Será que esqueceu da tragédia da boate Kiss? Ou zomba dela? Minha solidariedade aos alunos da UFSM atacados por um deputado bolsonarista. Absurdo que ideias assim sejam propagadas por quem deveria respeitar o povo.</t>
  </si>
  <si>
    <t>Faremos dessas eleições um momento fundamental para
elevar o patamar de organização e consciência revolucionária da classe trabalhadora!
Nosso programa mostra que há alternativa para o país, além das
propostas enganosas da direita e da extrema-direita e da conciliação de classe.</t>
  </si>
  <si>
    <t>Não dá para acreditar que Lula ou Bolsonaro farão as reformas que o Brasil e os brasileiros tanto precisam.
Não fizeram. Não farão.</t>
  </si>
  <si>
    <t>- Associar as milhões de famílias que foram pacificamente às ruas manifestar seu amor pelo Brasil no dia de nossa Independência a um grupo terrorista, racista e antissemita, como a Ku Klux Klan, é de longe a maior e mais covarde ofensa ao povo brasileiro que já vi em minha vida.</t>
  </si>
  <si>
    <t>@partidonovo30 Ele nunca teve vergonha de elogiar ditadores que perseguiram minorias, prenderam e mataram opositores, censuraram a imprensa e condenaram seu povo à miséria.
Este é o defensor da democracia que salvará o Brasil?</t>
  </si>
  <si>
    <t>@vncsromera Eu não disse que você o ignora. Disse que age como se só ele existisse.
Novamente, um bilateralismo falso. E ao lado dos trabalhadores venezuelanos? Não é possível estar só ao lado deles?</t>
  </si>
  <si>
    <t>A profundidade da crise brasileira não nos permite aceitar que o debate de 2022 seja reduzido a uma disputa odienta ou de paixões entre fascismo e comunismo. Isso passa muito longe das reais necessidades do nosso povo.</t>
  </si>
  <si>
    <t>A Suprema Corte impôs um verdadeiro retrocesso ao direito de aborto legal nos EUA. É preciso derrotar a direita e esses capitalistas que atacam os direitos das mulheres trabalhadoras, enquanto as mulheres burguesas não correm risco de vida. Lutemos pelo aborto legal para todas!</t>
  </si>
  <si>
    <t>O genocídio do povo indígena segue em aceleração sem que gere qq ação que bloqueie essa barbárie. 
Quantos corpos mais terão que desaparecer para que se enfrente os responsáveis por essa situação?
Bolsonaro e agronegócio devem ser enfrentados já.</t>
  </si>
  <si>
    <t>Em momentos de impasse nós temos que colocar o povo para votar diretamente. Plebiscitos e referendos estão na Constituição, são um elemento importante da democracia e ainda tiram o poder da elite de corromper os políticos. #CiroNoFlow</t>
  </si>
  <si>
    <t>Brasileiros e brasileiras, vamos comemorar o que nos une, o verde amarelo nos pertence. Deus é grande e vai cobrir de bênçãos nossa nação para outros tantos 200 anos  agora sem fome, sem miséria, sem injustiça e sem presidente ladrão e corrupto, como o que temos e o que tivemos.</t>
  </si>
  <si>
    <t>-Quem acusa o nosso povo trabalhador e honesto de cultivar ideias perversas, desconhece sua essência pacífica e fraterna. Os brasileiros carregam dentro de si a diversidade. Isso é indissociável! Ideais totalitários, como nazismo e comunismo, JAMAIS prosperarão em nossas terras!</t>
  </si>
  <si>
    <t>- Se nada fosse feito para aliviar os brasileiros dos impactos do "fica em casa que a economia vê depois" e da guerra, a esquerda e a imprensa reclamariam de omissão. Como estamos fazendo, reclamam de eleitoreiro. É simples: quanto pior for para o povo, melhor para se promoverem.</t>
  </si>
  <si>
    <t>Enquanto pessoas fogem da guerra na Ucrânia &lt;U+0001F1FA&gt;&lt;U+0001F1E6&gt;,brasileiros fazem guerra aqui no Brasil
ignorância + arrogância = coquetel molotov tupiniquim
Os kamikazes estão em delírio! 
Parem a terra plana, gente! Ainda há quem queira descer! &lt;U+261D&gt;&lt;U+0001F3FC&gt;</t>
  </si>
  <si>
    <t>@palmeriodoria Lula só disse a verdade. Mas ele disse como vai governar para a classe trabalhadora com tantos acordos com a burguesia autocrática brasileira? Como vai superar estruturalmente os problemas do país? Ou é só ganhar a eleição e governar para os mesmos poderosos?</t>
  </si>
  <si>
    <t>@rafaeldpn @Tacito_Aloha @PCO29 @monark Entendo que a defesa dos setores oprimidos é parte da luta de classes, já que quem se beneficia de qualquer discurso contra os oprimidos é a burguesia.
Agora, quem puxa saco do patriotismo chauvinista defendendo inclusive os machistas do futebol, não vai entender isso mesmo.</t>
  </si>
  <si>
    <t>A Petrobras e Bolsonaro continuam zombando da cara de todos nós. Ontem, a empresa anunciou um lucro de exorbitantes R$44,5 bilhões às custas do sacrifício da nossa população. (...)</t>
  </si>
  <si>
    <t>Se mentiu muito em 2018 contra o PT, contra o mim. E agora essa gente está desmascarada. Esse país era bem mais feliz quando crescia 7,5%, quando tinha aumento de salário, quando os jovens tinham esperança de uma universidade e as famílias da sua casa própria.</t>
  </si>
  <si>
    <t>O povo é mais sensato que os constituintes. Os chilenos entenderam que a Constituição apresentada ao povo levaria a democracia chilena para o precipício do populismo que vem destruindo a América Latina e ameaça tragar o Brasil em outubro.</t>
  </si>
  <si>
    <t>A primeira universidade brasileira foi feita em 1920. Fiquei perplexo quando soube disso. Países mais pobres e menores que o nosso já tinham universidades. Até hoje não entendo porque a elite não queria que o povo estudasse.</t>
  </si>
  <si>
    <t>Mas o que Lula não diz é a razão desse grave nível de endividamento de nosso povo e das empresas. Está assim por consequência de seu governo.</t>
  </si>
  <si>
    <t>Não foi "uma aloprada" ou "perda de linha", foi genocídio!
As ações planejadas de Bolsonaro na pandemia levaram a morte de mais de 685 mil brasileiros.
Ele tem de ser julgado pelos crimes que cometeu contra a humanidade.
Nós não esquecemos!</t>
  </si>
  <si>
    <t>É importante o povo saber que boa parte da inflação nesse país se deve aos preços controlados por um governo irresponsável. Segundo o IBGE, em 2021, a Gasolina ficou 47% mais cara, o Diesel 46%, o botijão de gás 36%.</t>
  </si>
  <si>
    <t>Orçamento de 2023 de Bolsonaro tem a redução de 60% das verbas para a Farmácia popular. O governo genocida tira dinheiro do remédio do povo para entregar ao centrão com orçamento secreto! Esse é o governo da morte, dos ricos e da corrupção!
#ForaBolsonaro</t>
  </si>
  <si>
    <t>O Brasil é o país da impunidade?
Sergio Cabral foi condenado a mais de 400 anos de prisão pelos seus inúmeros crimes e está indo para casa hoje. 
Mais de 40% dos 800 mil presos brasileiros ainda não foram julgados. 
Nosso sistema privilegia os crimes do colarinho branco.</t>
  </si>
  <si>
    <t>O julgamento de @galodeluta é político. Sua prisão preventiva foi p punir um ideal e defender a manutenção do status quo. Se fosse p fazer JUSTIÇA deveriam julgar Borba Gato e os torturadores da ditadura fascista, mas esses são defendidos c unhas e dentes  p burguesia. Canalhas!</t>
  </si>
  <si>
    <t>Justiça, Memória e Verdade!
&lt;U+0001F4CD&gt;Julgamento e punição dos responsáveis pelas torturas, assassinatos e outras violências cometidas pelos aparatos de repressão e seus agentes contra o povo brasileiro, desde a Ditadura Civil-Militar até os dias de hoje.&lt;U+0001F447&gt;</t>
  </si>
  <si>
    <t>@valtene_matos @CristinaFM7 @PCO29 @monark O medo que um agressor pode ter da lei Maria da Penha ou o medo que tenha de aderir a uma organização nazista  declaradamente ilegal são um patrimônio democrático da nossa classe.
A lei burguesa não vai resolver as questões democráticas, mas NÃO AO RETROCESSO.</t>
  </si>
  <si>
    <t>Eduardo Bolsonaro é uma criatura repugnante, puxou o pai. Envolvido com milicianos e com corrupção, defende a tortura como forma de calar oponentes. 
Nossa solidariedade com @mirianleitao que foi atacada por este canalha. 
O lugar desse povo é na cadeia!
#DitaduraNuncaMais</t>
  </si>
  <si>
    <t>- Tais ofensas se tornam ainda mais revoltantes quando são proferidas por quem estava preso por assaltar o mesmo povo que agora ataca, e que está tentando, a todo custo, voltar à cena do crime. É um ex-presidiário xingando aqueles que vivem suas vidas de forma honesta e justa.</t>
  </si>
  <si>
    <t>2022-11</t>
  </si>
  <si>
    <t>A mesma polícia que supostamente facilitou para os terroristas de Bolsonaro cometer crimes contra o país ataca a população. Chega de barbárie. 
ANISTIA NÃO para todos eles.</t>
  </si>
  <si>
    <t>Em Contagem (MG), um homem foi executado friamente em Vila Barraginha, sem direito a se defender. Foi colocado atrás de um veículo e executado. As cenas são terríveis e demonstram que a polícia age covardemente contra o povo pobre desse país.</t>
  </si>
  <si>
    <t>Quem acha que o eleitor não sabe o que acontece e não tem sabedoria menospreza a força do povo brasileiro. O povo é sábio e sabe que o ex-presidente Lula ainda responde à Justiça em diversos processos. +</t>
  </si>
  <si>
    <t>Do período do Lula pra cá, com a legislação contra os jovens pobres e negros da periferia, cerca de 1 milhão e 250 mil pessoas foram pras cadeias e presídios, que viraram verdadeiras universidades do crime!</t>
  </si>
  <si>
    <t>Estou esperançoso de que essa rebeldia que nós vemos no trabalhador que acorda de madrugada, que trabalha 70 horas semanais precarizado com tudo o que aconteceu no país, tenho esperança que essa rebeldia se transforme em um grande movimento pra gente mudar o Brasil! #CiroNoDatena</t>
  </si>
  <si>
    <t>Lula e Ciro falam que vão resolver a vida dos trabalhadores. Vão revogar a reforma trabalhista? Reduzir a jornada de trabalho? Dobrar o salário mínimo? Atacar o lucro e o patrimônio dos 315 bilionários? 
Temos que derrotar Bolsonaro e esse sistema que o sustenta!
#DebateNaBand</t>
  </si>
  <si>
    <t>Bolsonaro declarou hoje, na Rússia, que vai liberar o FGTS para as vítimas das chuvas e no RJ.
Os trabalhadores não têm que pagar pelo descaso dos governos em infraestrutura. 
Isso é muito pouco, um deboche, e pune os trabalhadores vítimas da enchente duas vezes!
#SOSPETROPOLIS</t>
  </si>
  <si>
    <t>Consequências da volta do imposto sindical:
&lt;U+274C&gt;sindicatos menos representativos, com dinheiro garantido independentemente da atuação
&lt;U+274C&gt;mais recursos para organizações que são braços da atuação política dos partidos de esquerda
Sou CONTRA obrigar o trabalhador a pagar por isso!</t>
  </si>
  <si>
    <t>O povo já viu o país crescer, gerar empregos. O que não dá é para acreditar em fantasias. O salário mínimo não teve aumento real em todo o mandato do Bolsonaro e agora ele vem com a cara de pau prometer que vai fazer. Não vai. #LulaNaGlobo #DebateNaGlobo</t>
  </si>
  <si>
    <t>Concordo com @AltinoPstu !! Um absurdo o que os ricos e poderosos fazem para tentar desmoralizar a luta dos trabalhadores!! Eles não tem qualquer pudor ou princípios. A unica coisa que respeitam é o lucro.</t>
  </si>
  <si>
    <t>Nós queremos tudo que nós temos direito e para todos os trabalhadores, mulheres, negros e LGBTs. Queremos acabar com o capitalismo que nos humilha, nos explora e nos oprime! Vamos tomar a frente sim, mas não para adiminstrar o capitalismo, mas pra fazer revolução!</t>
  </si>
  <si>
    <t>As propostas para a classe trabalhadora faltaram ao debate! Como só havia diferentes tons de liberalismo entre os candidatos, os direitos para os/as trabalhadores/as não foram abordados. Se eu estivesse no debate pautaria as 30h de jornada semanal, sem redução salarial!</t>
  </si>
  <si>
    <t>- O fecha tudo irracional e irresponsável defendido pela esquerda só foi eficiente para destruir a renda de trabalhadores e causar outros problemas graves e previsíveis omitidos pela velha imprensa, sua grande aliada. Cada dia fica mais claro que o caos foi buscado e premeditado.</t>
  </si>
  <si>
    <t>Negam só com medo de perder votos. O plano perverso de Paulo Guedes é verdadeiro. É o roubo do salário mínimo. Agora querem acabar com a dedução de educação e saúde no IR. Lembrando que nesse país quem paga imposto é o trabalhador, enquanto os ricos seguem ficando mais ricos.</t>
  </si>
  <si>
    <t>Vivemos o pior momento da História brasileira desde o Golpe Militar de 1964, com desemprego recorde, aumento da miséria, da fome e da violência contra ativistas e militantes dos movimentos sociais.</t>
  </si>
  <si>
    <t>O Brasil tem a mais perversa desigualdade do mundo. Só 1 a cada 4 crianças fazem as três refeições diárias, 33 milhões de brasileiros não comeram nada hoje, isso no país que mais produz comida no mundo. O problema é a canalhice política que tem dominado a nossa história!</t>
  </si>
  <si>
    <t>Governo Bolsonaro não reajustou o valor do repasse para a merenda escolar. 
As crianças brasileiras estão dividindo ovo no lanche. 
Além de apologia ao racismo, age de forma a aumentar a fome, a destruição das famílias e dos serviços públicos. 
Nunca tivemos um governo tão ruim.</t>
  </si>
  <si>
    <t>Concordo totalmente com a juventude @rebeldia_juv !!
É uma vergonha que com tanta gente passando fome e necessidade ainda assistimos as negociatas dos ricos para torná-los mais ricos com os recursos que vem da exploração dos trabalhadores!</t>
  </si>
  <si>
    <t>Por último: o Programa de Renda Mínima Eduardo Suplicy será transformado em norma constitucional, para que a transferência de renda ao nosso povo mais carente deixe de ser alvo de manipulações a cada eleição.</t>
  </si>
  <si>
    <t>Quase 1/3 dos brasileiros está abaixo da linha da pobreza e é preciso agir com seriedade e sem punir as gerações futuras.
Do contrário, além de não resolver, irá castigar ainda mais os brasileiros com impostos, inflação e endividamento. O Brasil merece mais do que o populismo.</t>
  </si>
  <si>
    <t>Os brasileiros acabam de receber, sem direito de escolha, uma conta bilionária a pagar.
O congresso aprovou, em segundo turno, R$ 168,9 bi fora do que permitiria o Teto de Gastos.
Lula e seus aliados dizem que o dinheiro é para garantir o Bolsa Família. A realidade é outra &lt;U+0001F447&gt;&lt;U+0001F9F6&gt;</t>
  </si>
  <si>
    <t>O Brasil tem hoje 33 milhões de pessoas passando fome. Nosso Programa de Renda Mínima de 1.000 reais com caráter constitucional vai proteger nosso povo das manipulações eleitoreiras. Para viabilizar isso, eu preciso confrontar aqueles que mandaram no Brasil nesses anos todos.</t>
  </si>
  <si>
    <t>A PEC do Desespero não vai resolver o problema da fome, da miséria e dos preços altos. É uma medida eleitoreira descarada de Bolsonaro. Essa grana viria das privatizações e do que já deveria ir para áreas sociais. Os lucros dos banqueiros e das grandes empresas ficam intactos.</t>
  </si>
  <si>
    <t>Trocados em miúdos: 108 milhões de brasileiros são obrigados a viver com apenas R$14 em média por dia, isso em um dos países potencialmente mais ricos do mundo. Fica claro, então, porque a fortuna dos nossos 5 maiores bilionários é maior do que tudo que têm estes pobres irmãos.</t>
  </si>
  <si>
    <t>Não posso me dizer contra o Genocidio da juventude e do povo negro após cada assassinato: Aghata, Marielle, Edson, Café, Moise... Mas quando chega a eleição, me uno à parcela da "esquerda" que  se deixou hipnotizar pela desgraçada "governabilidade" burguesa...</t>
  </si>
  <si>
    <t>É necessário superar o autoritarismo e as ameaças antidemocráticas. Não toleraremos qualquer espécie de ameaça ou tutela sobre as instituições representativas do voto popular.</t>
  </si>
  <si>
    <t>Agindo assim nos deixamos ser aprisionados pela velha política, e nos prendemos em um grande labirinto que só a burguesia que tem a saída.
Não nos iludamos, quebrar o racismo passa pela derrota do fascismo, mas tbm do neoliberalismo, da burguesia, da direita!</t>
  </si>
  <si>
    <t>Tristeza por mais um jovem negro assassinado! 
Essa é a política de segurança pública é um desastre! 
Longe de reduzir qualquer índice de violência significa apenas mortes para os jovens negros e trabalhadores das periferias brasileiras.
#violência #RiodeJaneiro</t>
  </si>
  <si>
    <t>Na foto há também apenas duas mulheres. É a expressão na política dos ricos do conhecido machismo que tanto assola as mulheres trabalhadoras com violência, assédio nos locais de trabalho, etc! Para enfrentar o machismo, é preciso também enfrentar o capitalismo.</t>
  </si>
  <si>
    <t>Tamanhos requintes de crueldade como os casos do homem negro em Sergipe morto asfixiado numa câmara de gás numa viatura, a chacina na Vila Cruzeiro (RJ), são feitos para botar terror no povo, o estado tentar passar a ideia que podem fazer o que querem e que o povo fique calado&lt;U+0001F447&gt;&lt;U+0001F3FF&gt;</t>
  </si>
  <si>
    <t>Ainda hoje, existe um racismo silencioso e cúmplice, que se expressa nas oportunidades negadas à maioria do povo pela cor da pele. O racismo é filho do ódio e da intolerância e desumaniza a todos nós. E por isso é uma luta de todos.</t>
  </si>
  <si>
    <t>... e que nunca passou por revisão de suas práticas nem responsabilização séria dos responsáveis por esse modo de operar. Aí são ainda mais instrumentos de repressão à negros, pobres, ao movimento popular e de esquerda. Justiça de transição e desmobilização nunca saíram de pauta!</t>
  </si>
  <si>
    <t>Que tiveram a coragem de vestir a nossa camisa e, ao mesmo tempo, agitar a bandeira do Brasil  quando uma minoria violenta e antidemocrática tentava censurar nossas cores e se apropriar do verde-amarelo, que pertence a todo o povo brasileiro.</t>
  </si>
  <si>
    <t>Em outubro, Monark defendeu o direito de ser racista e agora defendeu a criação de um partido nazista no BR. 
Como se não bastasse a barbárie que já recai sobre os trabalhadores, negros, mulheres e LGBTs, o podcaster defende a criação de um partido de extermínio dos oprimidos.</t>
  </si>
  <si>
    <t>g_antagonism</t>
  </si>
  <si>
    <t>p_antagonism</t>
  </si>
  <si>
    <t>ANTAGONISM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</si>
</sst>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2" x14ac:knownFonts="1">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theme="8" tint="0.79998168889431442"/>
        <bgColor indexed="64"/>
      </patternFill>
    </fill>
    <fill>
      <patternFill patternType="solid">
        <fgColor theme="6" tint="0.79998168889431442"/>
        <bgColor indexed="64"/>
      </patternFill>
    </fill>
  </fills>
  <borders count="1">
    <border>
      <left/>
      <right/>
      <top/>
      <bottom/>
      <diagonal/>
    </border>
  </borders>
  <cellStyleXfs count="1">
    <xf numFmtId="0" fontId="0" fillId="0" borderId="0"/>
  </cellStyleXfs>
  <cellXfs count="7">
    <xf numFmtId="0" fontId="0" fillId="0" borderId="0" xfId="0"/>
    <xf numFmtId="0" fontId="1" fillId="0" borderId="0" xfId="0" applyFont="1" applyAlignment="1">
      <alignment horizontal="center"/>
    </xf>
    <xf numFmtId="164" fontId="0" fillId="0" borderId="0" xfId="0" applyNumberFormat="1"/>
    <xf numFmtId="0" fontId="1" fillId="2" borderId="0" xfId="0" applyFont="1" applyFill="1" applyAlignment="1">
      <alignment horizontal="center"/>
    </xf>
    <xf numFmtId="0" fontId="0" fillId="2" borderId="0" xfId="0" applyFill="1"/>
    <xf numFmtId="0" fontId="1" fillId="3" borderId="0" xfId="0" applyFont="1" applyFill="1" applyAlignment="1">
      <alignment horizontal="center"/>
    </xf>
    <xf numFmtId="0" fontId="0" fillId="3" borderId="0" xfId="0"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H130"/>
  <sheetViews>
    <sheetView tabSelected="1" topLeftCell="AF1" workbookViewId="0">
      <selection activeCell="K100" sqref="K100"/>
    </sheetView>
  </sheetViews>
  <sheetFormatPr baseColWidth="10" defaultColWidth="8.83203125" defaultRowHeight="15" x14ac:dyDescent="0.2"/>
  <cols>
    <col min="3" max="3" width="20.6640625" style="2" customWidth="1"/>
    <col min="12" max="12" width="11.6640625" style="6" bestFit="1" customWidth="1"/>
    <col min="13" max="13" width="11.83203125" style="4" bestFit="1" customWidth="1"/>
    <col min="14" max="14" width="11.83203125" style="4" customWidth="1"/>
    <col min="48" max="48" width="20.6640625" style="2" customWidth="1"/>
  </cols>
  <sheetData>
    <row r="1" spans="1:60" s="1" customFormat="1" x14ac:dyDescent="0.2">
      <c r="A1" s="1" t="s">
        <v>0</v>
      </c>
      <c r="B1" s="1" t="s">
        <v>1</v>
      </c>
      <c r="C1" s="1" t="s">
        <v>2</v>
      </c>
      <c r="D1" s="1" t="s">
        <v>3</v>
      </c>
      <c r="E1" s="1" t="s">
        <v>4</v>
      </c>
      <c r="F1" s="1" t="s">
        <v>5</v>
      </c>
      <c r="G1" s="1" t="s">
        <v>6</v>
      </c>
      <c r="H1" s="1" t="s">
        <v>7</v>
      </c>
      <c r="I1" s="1" t="s">
        <v>8</v>
      </c>
      <c r="J1" s="1" t="s">
        <v>9</v>
      </c>
      <c r="K1" s="1" t="s">
        <v>10</v>
      </c>
      <c r="L1" s="5" t="s">
        <v>217</v>
      </c>
      <c r="M1" s="3" t="s">
        <v>218</v>
      </c>
      <c r="N1" s="3" t="s">
        <v>219</v>
      </c>
      <c r="O1" s="1" t="s">
        <v>11</v>
      </c>
      <c r="P1" s="1" t="s">
        <v>12</v>
      </c>
      <c r="Q1" s="1" t="s">
        <v>13</v>
      </c>
      <c r="R1" s="1" t="s">
        <v>14</v>
      </c>
      <c r="S1" s="1" t="s">
        <v>15</v>
      </c>
      <c r="T1" s="1" t="s">
        <v>16</v>
      </c>
      <c r="U1" s="1" t="s">
        <v>17</v>
      </c>
      <c r="V1" s="1" t="s">
        <v>18</v>
      </c>
      <c r="W1" s="1" t="s">
        <v>19</v>
      </c>
      <c r="X1" s="1" t="s">
        <v>20</v>
      </c>
      <c r="Y1" s="1" t="s">
        <v>21</v>
      </c>
      <c r="Z1" s="1" t="s">
        <v>22</v>
      </c>
      <c r="AA1" s="1" t="s">
        <v>23</v>
      </c>
      <c r="AB1" s="1" t="s">
        <v>24</v>
      </c>
      <c r="AC1" s="1" t="s">
        <v>25</v>
      </c>
      <c r="AD1" s="1" t="s">
        <v>26</v>
      </c>
      <c r="AE1" s="1" t="s">
        <v>27</v>
      </c>
      <c r="AF1" s="1" t="s">
        <v>28</v>
      </c>
      <c r="AG1" s="1" t="s">
        <v>29</v>
      </c>
      <c r="AH1" s="1" t="s">
        <v>30</v>
      </c>
      <c r="AI1" s="1" t="s">
        <v>31</v>
      </c>
      <c r="AJ1" s="1" t="s">
        <v>32</v>
      </c>
      <c r="AK1" s="1" t="s">
        <v>33</v>
      </c>
      <c r="AL1" s="1" t="s">
        <v>34</v>
      </c>
      <c r="AM1" s="1" t="s">
        <v>35</v>
      </c>
      <c r="AN1" s="1" t="s">
        <v>36</v>
      </c>
      <c r="AO1" s="1" t="s">
        <v>37</v>
      </c>
      <c r="AP1" s="1" t="s">
        <v>38</v>
      </c>
      <c r="AQ1" s="1" t="s">
        <v>39</v>
      </c>
      <c r="AR1" s="1" t="s">
        <v>40</v>
      </c>
      <c r="AS1" s="1" t="s">
        <v>41</v>
      </c>
      <c r="AT1" s="1" t="s">
        <v>42</v>
      </c>
      <c r="AU1" s="1" t="s">
        <v>43</v>
      </c>
      <c r="AV1" s="1" t="s">
        <v>44</v>
      </c>
      <c r="AW1" s="1" t="s">
        <v>45</v>
      </c>
      <c r="AX1" s="1" t="s">
        <v>46</v>
      </c>
      <c r="AY1" s="1" t="s">
        <v>47</v>
      </c>
      <c r="AZ1" s="1" t="s">
        <v>48</v>
      </c>
      <c r="BA1" s="1" t="s">
        <v>49</v>
      </c>
      <c r="BB1" s="1" t="s">
        <v>50</v>
      </c>
      <c r="BC1" s="1" t="s">
        <v>51</v>
      </c>
      <c r="BD1" s="1" t="s">
        <v>52</v>
      </c>
      <c r="BE1" s="1" t="s">
        <v>53</v>
      </c>
      <c r="BF1" s="1" t="s">
        <v>54</v>
      </c>
      <c r="BG1" s="1" t="s">
        <v>55</v>
      </c>
      <c r="BH1" s="1" t="s">
        <v>56</v>
      </c>
    </row>
    <row r="2" spans="1:60" x14ac:dyDescent="0.2">
      <c r="A2" t="s">
        <v>35</v>
      </c>
      <c r="B2">
        <v>19886</v>
      </c>
      <c r="C2" s="2">
        <v>44596</v>
      </c>
      <c r="D2" t="s">
        <v>57</v>
      </c>
      <c r="E2">
        <v>2022</v>
      </c>
      <c r="F2">
        <v>2</v>
      </c>
      <c r="G2">
        <v>1</v>
      </c>
      <c r="H2" t="s">
        <v>58</v>
      </c>
      <c r="I2">
        <v>0.81</v>
      </c>
      <c r="J2" t="s">
        <v>59</v>
      </c>
      <c r="K2" t="s">
        <v>60</v>
      </c>
      <c r="L2" s="6">
        <v>1</v>
      </c>
      <c r="M2" s="4">
        <v>1</v>
      </c>
      <c r="N2" s="4">
        <f>IF(L2&lt;&gt;M2,1,0)</f>
        <v>0</v>
      </c>
      <c r="O2">
        <v>1</v>
      </c>
      <c r="P2">
        <v>1</v>
      </c>
      <c r="Q2">
        <v>1</v>
      </c>
      <c r="R2">
        <v>18</v>
      </c>
      <c r="S2">
        <v>0.85347139800000005</v>
      </c>
      <c r="T2">
        <v>18</v>
      </c>
      <c r="U2">
        <v>0</v>
      </c>
      <c r="V2">
        <v>0</v>
      </c>
      <c r="W2">
        <v>0</v>
      </c>
      <c r="X2">
        <v>0</v>
      </c>
      <c r="Y2">
        <v>0</v>
      </c>
      <c r="Z2">
        <v>0</v>
      </c>
      <c r="AA2">
        <v>0</v>
      </c>
      <c r="AB2">
        <v>0</v>
      </c>
      <c r="AC2">
        <v>0</v>
      </c>
      <c r="AD2">
        <v>0</v>
      </c>
      <c r="AE2">
        <v>0</v>
      </c>
      <c r="AF2">
        <v>0</v>
      </c>
      <c r="AG2">
        <v>0</v>
      </c>
      <c r="AH2">
        <v>0</v>
      </c>
      <c r="AI2">
        <v>0</v>
      </c>
      <c r="AJ2">
        <v>0</v>
      </c>
      <c r="AK2">
        <v>0</v>
      </c>
      <c r="AL2">
        <v>0</v>
      </c>
      <c r="AM2">
        <v>1</v>
      </c>
      <c r="AN2">
        <v>0</v>
      </c>
      <c r="AO2">
        <v>0</v>
      </c>
      <c r="AP2">
        <v>0</v>
      </c>
      <c r="AQ2" t="s">
        <v>35</v>
      </c>
      <c r="AR2">
        <v>54</v>
      </c>
      <c r="AS2">
        <v>240</v>
      </c>
      <c r="AT2">
        <v>274</v>
      </c>
      <c r="AU2">
        <v>0.1240875912408759</v>
      </c>
      <c r="AV2" s="2">
        <v>44591</v>
      </c>
      <c r="AW2">
        <v>6.8749999999999992E-2</v>
      </c>
      <c r="AX2" t="s">
        <v>61</v>
      </c>
      <c r="AY2">
        <v>0.1111111111111111</v>
      </c>
      <c r="AZ2">
        <v>8.8262910798122124E-2</v>
      </c>
      <c r="BA2" t="s">
        <v>59</v>
      </c>
      <c r="BB2" t="s">
        <v>59</v>
      </c>
      <c r="BC2">
        <v>0</v>
      </c>
      <c r="BD2">
        <v>0</v>
      </c>
      <c r="BE2" t="s">
        <v>62</v>
      </c>
      <c r="BF2" t="s">
        <v>62</v>
      </c>
      <c r="BG2" t="s">
        <v>59</v>
      </c>
      <c r="BH2">
        <v>1</v>
      </c>
    </row>
    <row r="3" spans="1:60" x14ac:dyDescent="0.2">
      <c r="A3" t="s">
        <v>35</v>
      </c>
      <c r="B3">
        <v>430</v>
      </c>
      <c r="C3" s="2">
        <v>44797</v>
      </c>
      <c r="D3" t="s">
        <v>63</v>
      </c>
      <c r="E3">
        <v>2022</v>
      </c>
      <c r="F3">
        <v>8</v>
      </c>
      <c r="G3">
        <v>3</v>
      </c>
      <c r="H3" t="s">
        <v>64</v>
      </c>
      <c r="I3">
        <v>0.8</v>
      </c>
      <c r="J3" t="s">
        <v>59</v>
      </c>
      <c r="K3" t="s">
        <v>65</v>
      </c>
      <c r="L3" s="6">
        <v>1</v>
      </c>
      <c r="M3" s="4">
        <v>1</v>
      </c>
      <c r="N3" s="4">
        <f t="shared" ref="N3:N66" si="0">IF(L3&lt;&gt;M3,1,0)</f>
        <v>0</v>
      </c>
      <c r="O3">
        <v>1</v>
      </c>
      <c r="P3">
        <v>1</v>
      </c>
      <c r="Q3">
        <v>1</v>
      </c>
      <c r="R3">
        <v>18</v>
      </c>
      <c r="S3">
        <v>0.98393851499999996</v>
      </c>
      <c r="T3">
        <v>18</v>
      </c>
      <c r="U3">
        <v>0</v>
      </c>
      <c r="V3">
        <v>0</v>
      </c>
      <c r="W3">
        <v>0</v>
      </c>
      <c r="X3">
        <v>0</v>
      </c>
      <c r="Y3">
        <v>0</v>
      </c>
      <c r="Z3">
        <v>0</v>
      </c>
      <c r="AA3">
        <v>0</v>
      </c>
      <c r="AB3">
        <v>0</v>
      </c>
      <c r="AC3">
        <v>0</v>
      </c>
      <c r="AD3">
        <v>0</v>
      </c>
      <c r="AE3">
        <v>0</v>
      </c>
      <c r="AF3">
        <v>0</v>
      </c>
      <c r="AG3">
        <v>0</v>
      </c>
      <c r="AH3">
        <v>0</v>
      </c>
      <c r="AI3">
        <v>0</v>
      </c>
      <c r="AJ3">
        <v>0</v>
      </c>
      <c r="AK3">
        <v>0</v>
      </c>
      <c r="AL3">
        <v>0</v>
      </c>
      <c r="AM3">
        <v>1</v>
      </c>
      <c r="AN3">
        <v>0</v>
      </c>
      <c r="AO3">
        <v>0</v>
      </c>
      <c r="AP3">
        <v>0</v>
      </c>
      <c r="AQ3" t="s">
        <v>35</v>
      </c>
      <c r="AR3">
        <v>45</v>
      </c>
      <c r="AS3">
        <v>39</v>
      </c>
      <c r="AT3">
        <v>274</v>
      </c>
      <c r="AU3">
        <v>0.85766423357664234</v>
      </c>
      <c r="AV3" s="2">
        <v>44794</v>
      </c>
      <c r="AW3">
        <v>5.3830227743271238E-2</v>
      </c>
      <c r="AX3" t="s">
        <v>61</v>
      </c>
      <c r="AY3">
        <v>3.5714285714285733E-2</v>
      </c>
      <c r="AZ3">
        <v>3.1182015953589399E-2</v>
      </c>
      <c r="BA3" t="s">
        <v>59</v>
      </c>
      <c r="BB3" t="s">
        <v>59</v>
      </c>
      <c r="BC3">
        <v>0</v>
      </c>
      <c r="BD3">
        <v>0</v>
      </c>
      <c r="BE3" t="s">
        <v>66</v>
      </c>
      <c r="BF3" t="s">
        <v>66</v>
      </c>
      <c r="BG3" t="s">
        <v>59</v>
      </c>
      <c r="BH3">
        <v>1</v>
      </c>
    </row>
    <row r="4" spans="1:60" x14ac:dyDescent="0.2">
      <c r="A4" t="s">
        <v>35</v>
      </c>
      <c r="B4">
        <v>20927</v>
      </c>
      <c r="C4" s="2">
        <v>44832</v>
      </c>
      <c r="D4" t="s">
        <v>67</v>
      </c>
      <c r="E4">
        <v>2022</v>
      </c>
      <c r="F4">
        <v>9</v>
      </c>
      <c r="G4">
        <v>3</v>
      </c>
      <c r="H4" t="s">
        <v>68</v>
      </c>
      <c r="I4">
        <v>0.09</v>
      </c>
      <c r="J4" t="s">
        <v>69</v>
      </c>
      <c r="K4" t="s">
        <v>70</v>
      </c>
      <c r="L4" s="6">
        <v>1</v>
      </c>
      <c r="M4" s="4">
        <v>1</v>
      </c>
      <c r="N4" s="4">
        <f t="shared" si="0"/>
        <v>0</v>
      </c>
      <c r="O4">
        <v>1</v>
      </c>
      <c r="P4">
        <v>1</v>
      </c>
      <c r="Q4">
        <v>1</v>
      </c>
      <c r="R4">
        <v>18</v>
      </c>
      <c r="S4">
        <v>0.99569195499999996</v>
      </c>
      <c r="T4">
        <v>18</v>
      </c>
      <c r="U4">
        <v>0</v>
      </c>
      <c r="V4">
        <v>0</v>
      </c>
      <c r="W4">
        <v>0</v>
      </c>
      <c r="X4">
        <v>0</v>
      </c>
      <c r="Y4">
        <v>0</v>
      </c>
      <c r="Z4">
        <v>0</v>
      </c>
      <c r="AA4">
        <v>0</v>
      </c>
      <c r="AB4">
        <v>0</v>
      </c>
      <c r="AC4">
        <v>0</v>
      </c>
      <c r="AD4">
        <v>0</v>
      </c>
      <c r="AE4">
        <v>0</v>
      </c>
      <c r="AF4">
        <v>0</v>
      </c>
      <c r="AG4">
        <v>0</v>
      </c>
      <c r="AH4">
        <v>0</v>
      </c>
      <c r="AI4">
        <v>0</v>
      </c>
      <c r="AJ4">
        <v>0</v>
      </c>
      <c r="AK4">
        <v>0</v>
      </c>
      <c r="AL4">
        <v>0</v>
      </c>
      <c r="AM4">
        <v>1</v>
      </c>
      <c r="AN4">
        <v>0</v>
      </c>
      <c r="AO4">
        <v>0</v>
      </c>
      <c r="AP4">
        <v>0</v>
      </c>
      <c r="AQ4" t="s">
        <v>35</v>
      </c>
      <c r="AR4">
        <v>43</v>
      </c>
      <c r="AS4">
        <v>4</v>
      </c>
      <c r="AT4">
        <v>274</v>
      </c>
      <c r="AU4">
        <v>0.98540145985401462</v>
      </c>
      <c r="AV4" s="2">
        <v>44829</v>
      </c>
      <c r="AW4">
        <v>5.4187192118226632E-2</v>
      </c>
      <c r="AX4" t="s">
        <v>61</v>
      </c>
      <c r="AY4">
        <v>2.9197080291970809E-2</v>
      </c>
      <c r="AZ4">
        <v>3.7735849056603571E-2</v>
      </c>
      <c r="BA4" t="s">
        <v>69</v>
      </c>
      <c r="BB4" t="s">
        <v>69</v>
      </c>
      <c r="BC4">
        <v>1</v>
      </c>
      <c r="BD4">
        <v>0</v>
      </c>
      <c r="BE4" t="s">
        <v>66</v>
      </c>
      <c r="BF4" t="s">
        <v>66</v>
      </c>
      <c r="BG4" t="s">
        <v>69</v>
      </c>
      <c r="BH4">
        <v>1</v>
      </c>
    </row>
    <row r="5" spans="1:60" x14ac:dyDescent="0.2">
      <c r="A5" t="s">
        <v>35</v>
      </c>
      <c r="B5">
        <v>19705</v>
      </c>
      <c r="C5" s="2">
        <v>44636</v>
      </c>
      <c r="D5" t="s">
        <v>71</v>
      </c>
      <c r="E5">
        <v>2022</v>
      </c>
      <c r="F5">
        <v>3</v>
      </c>
      <c r="G5">
        <v>1</v>
      </c>
      <c r="H5" t="s">
        <v>58</v>
      </c>
      <c r="I5">
        <v>0.81</v>
      </c>
      <c r="J5" t="s">
        <v>59</v>
      </c>
      <c r="K5" t="s">
        <v>72</v>
      </c>
      <c r="L5" s="6">
        <v>1</v>
      </c>
      <c r="M5" s="4">
        <v>1</v>
      </c>
      <c r="N5" s="4">
        <f t="shared" si="0"/>
        <v>0</v>
      </c>
      <c r="O5">
        <v>1</v>
      </c>
      <c r="P5">
        <v>1</v>
      </c>
      <c r="Q5">
        <v>1</v>
      </c>
      <c r="R5">
        <v>18</v>
      </c>
      <c r="S5">
        <v>0.99392044499999999</v>
      </c>
      <c r="T5">
        <v>18</v>
      </c>
      <c r="U5">
        <v>0</v>
      </c>
      <c r="V5">
        <v>0</v>
      </c>
      <c r="W5">
        <v>0</v>
      </c>
      <c r="X5">
        <v>0</v>
      </c>
      <c r="Y5">
        <v>0</v>
      </c>
      <c r="Z5">
        <v>0</v>
      </c>
      <c r="AA5">
        <v>0</v>
      </c>
      <c r="AB5">
        <v>0</v>
      </c>
      <c r="AC5">
        <v>0</v>
      </c>
      <c r="AD5">
        <v>0</v>
      </c>
      <c r="AE5">
        <v>0</v>
      </c>
      <c r="AF5">
        <v>0</v>
      </c>
      <c r="AG5">
        <v>0</v>
      </c>
      <c r="AH5">
        <v>0</v>
      </c>
      <c r="AI5">
        <v>0</v>
      </c>
      <c r="AJ5">
        <v>0</v>
      </c>
      <c r="AK5">
        <v>0</v>
      </c>
      <c r="AL5">
        <v>0</v>
      </c>
      <c r="AM5">
        <v>1</v>
      </c>
      <c r="AN5">
        <v>0</v>
      </c>
      <c r="AO5">
        <v>0</v>
      </c>
      <c r="AP5">
        <v>0</v>
      </c>
      <c r="AQ5" t="s">
        <v>35</v>
      </c>
      <c r="AR5">
        <v>21</v>
      </c>
      <c r="AS5">
        <v>200</v>
      </c>
      <c r="AT5">
        <v>274</v>
      </c>
      <c r="AU5">
        <v>0.27007299270072987</v>
      </c>
      <c r="AV5" s="2">
        <v>44633</v>
      </c>
      <c r="AW5">
        <v>8.9108910891089049E-2</v>
      </c>
      <c r="AX5" t="s">
        <v>61</v>
      </c>
      <c r="AY5">
        <v>0.10526315789473691</v>
      </c>
      <c r="AZ5">
        <v>8.8262910798122124E-2</v>
      </c>
      <c r="BA5" t="s">
        <v>59</v>
      </c>
      <c r="BB5" t="s">
        <v>59</v>
      </c>
      <c r="BC5">
        <v>0</v>
      </c>
      <c r="BD5">
        <v>0</v>
      </c>
      <c r="BE5" t="s">
        <v>62</v>
      </c>
      <c r="BF5" t="s">
        <v>62</v>
      </c>
      <c r="BG5" t="s">
        <v>59</v>
      </c>
      <c r="BH5">
        <v>1</v>
      </c>
    </row>
    <row r="6" spans="1:60" x14ac:dyDescent="0.2">
      <c r="A6" t="s">
        <v>35</v>
      </c>
      <c r="B6">
        <v>10427</v>
      </c>
      <c r="C6" s="2">
        <v>44834</v>
      </c>
      <c r="D6" t="s">
        <v>67</v>
      </c>
      <c r="E6">
        <v>2022</v>
      </c>
      <c r="F6">
        <v>9</v>
      </c>
      <c r="G6">
        <v>3</v>
      </c>
      <c r="H6" t="s">
        <v>73</v>
      </c>
      <c r="I6">
        <v>0.39</v>
      </c>
      <c r="J6" t="s">
        <v>74</v>
      </c>
      <c r="K6" t="s">
        <v>75</v>
      </c>
      <c r="L6" s="6">
        <v>1</v>
      </c>
      <c r="M6" s="4">
        <v>1</v>
      </c>
      <c r="N6" s="4">
        <f t="shared" si="0"/>
        <v>0</v>
      </c>
      <c r="O6">
        <v>1</v>
      </c>
      <c r="P6">
        <v>1</v>
      </c>
      <c r="Q6">
        <v>1</v>
      </c>
      <c r="R6">
        <v>18</v>
      </c>
      <c r="S6">
        <v>0.98180437099999995</v>
      </c>
      <c r="T6">
        <v>18</v>
      </c>
      <c r="U6">
        <v>0</v>
      </c>
      <c r="V6">
        <v>0</v>
      </c>
      <c r="W6">
        <v>0</v>
      </c>
      <c r="X6">
        <v>0</v>
      </c>
      <c r="Y6">
        <v>0</v>
      </c>
      <c r="Z6">
        <v>0</v>
      </c>
      <c r="AA6">
        <v>0</v>
      </c>
      <c r="AB6">
        <v>0</v>
      </c>
      <c r="AC6">
        <v>0</v>
      </c>
      <c r="AD6">
        <v>0</v>
      </c>
      <c r="AE6">
        <v>0</v>
      </c>
      <c r="AF6">
        <v>0</v>
      </c>
      <c r="AG6">
        <v>0</v>
      </c>
      <c r="AH6">
        <v>0</v>
      </c>
      <c r="AI6">
        <v>0</v>
      </c>
      <c r="AJ6">
        <v>0</v>
      </c>
      <c r="AK6">
        <v>0</v>
      </c>
      <c r="AL6">
        <v>0</v>
      </c>
      <c r="AM6">
        <v>1</v>
      </c>
      <c r="AN6">
        <v>0</v>
      </c>
      <c r="AO6">
        <v>0</v>
      </c>
      <c r="AP6">
        <v>0</v>
      </c>
      <c r="AQ6" t="s">
        <v>35</v>
      </c>
      <c r="AR6">
        <v>49</v>
      </c>
      <c r="AS6">
        <v>2</v>
      </c>
      <c r="AT6">
        <v>274</v>
      </c>
      <c r="AU6">
        <v>0.99270072992700731</v>
      </c>
      <c r="AV6" s="2">
        <v>44829</v>
      </c>
      <c r="AW6">
        <v>5.4187192118226632E-2</v>
      </c>
      <c r="AX6" t="s">
        <v>61</v>
      </c>
      <c r="AY6">
        <v>0.1</v>
      </c>
      <c r="AZ6">
        <v>5.7251908396946792E-2</v>
      </c>
      <c r="BA6" t="s">
        <v>69</v>
      </c>
      <c r="BB6" t="s">
        <v>69</v>
      </c>
      <c r="BC6">
        <v>1</v>
      </c>
      <c r="BD6">
        <v>0</v>
      </c>
      <c r="BE6" t="s">
        <v>66</v>
      </c>
      <c r="BF6" t="s">
        <v>66</v>
      </c>
      <c r="BG6" t="s">
        <v>69</v>
      </c>
      <c r="BH6">
        <v>1</v>
      </c>
    </row>
    <row r="7" spans="1:60" x14ac:dyDescent="0.2">
      <c r="A7" t="s">
        <v>35</v>
      </c>
      <c r="B7">
        <v>18939</v>
      </c>
      <c r="C7" s="2">
        <v>44909</v>
      </c>
      <c r="D7" t="s">
        <v>76</v>
      </c>
      <c r="E7">
        <v>2022</v>
      </c>
      <c r="F7">
        <v>12</v>
      </c>
      <c r="G7">
        <v>4</v>
      </c>
      <c r="H7" t="s">
        <v>58</v>
      </c>
      <c r="I7">
        <v>0.81</v>
      </c>
      <c r="J7" t="s">
        <v>59</v>
      </c>
      <c r="K7" t="s">
        <v>77</v>
      </c>
      <c r="L7" s="6">
        <v>1</v>
      </c>
      <c r="M7" s="4">
        <v>1</v>
      </c>
      <c r="N7" s="4">
        <f t="shared" si="0"/>
        <v>0</v>
      </c>
      <c r="O7">
        <v>1</v>
      </c>
      <c r="P7">
        <v>1</v>
      </c>
      <c r="Q7">
        <v>1</v>
      </c>
      <c r="R7">
        <v>18</v>
      </c>
      <c r="S7">
        <v>0.99875509699999998</v>
      </c>
      <c r="T7">
        <v>18</v>
      </c>
      <c r="U7">
        <v>0</v>
      </c>
      <c r="V7">
        <v>0</v>
      </c>
      <c r="W7">
        <v>0</v>
      </c>
      <c r="X7">
        <v>0</v>
      </c>
      <c r="Y7">
        <v>0</v>
      </c>
      <c r="Z7">
        <v>0</v>
      </c>
      <c r="AA7">
        <v>0</v>
      </c>
      <c r="AB7">
        <v>0</v>
      </c>
      <c r="AC7">
        <v>0</v>
      </c>
      <c r="AD7">
        <v>0</v>
      </c>
      <c r="AE7">
        <v>0</v>
      </c>
      <c r="AF7">
        <v>0</v>
      </c>
      <c r="AG7">
        <v>0</v>
      </c>
      <c r="AH7">
        <v>0</v>
      </c>
      <c r="AI7">
        <v>0</v>
      </c>
      <c r="AJ7">
        <v>0</v>
      </c>
      <c r="AK7">
        <v>0</v>
      </c>
      <c r="AL7">
        <v>0</v>
      </c>
      <c r="AM7">
        <v>1</v>
      </c>
      <c r="AN7">
        <v>0</v>
      </c>
      <c r="AO7">
        <v>0</v>
      </c>
      <c r="AP7">
        <v>0</v>
      </c>
      <c r="AQ7" t="s">
        <v>35</v>
      </c>
      <c r="AR7">
        <v>41</v>
      </c>
      <c r="AT7">
        <v>274</v>
      </c>
      <c r="AV7" s="2">
        <v>44906</v>
      </c>
      <c r="AW7">
        <v>5.7471264367816063E-2</v>
      </c>
      <c r="AX7" t="s">
        <v>61</v>
      </c>
      <c r="AY7">
        <v>0.25</v>
      </c>
      <c r="AZ7">
        <v>8.8262910798122124E-2</v>
      </c>
      <c r="BA7" t="s">
        <v>59</v>
      </c>
      <c r="BB7" t="s">
        <v>59</v>
      </c>
      <c r="BC7">
        <v>0</v>
      </c>
      <c r="BD7">
        <v>0</v>
      </c>
      <c r="BE7" t="s">
        <v>62</v>
      </c>
      <c r="BF7" t="s">
        <v>62</v>
      </c>
      <c r="BG7" t="s">
        <v>59</v>
      </c>
      <c r="BH7">
        <v>1</v>
      </c>
    </row>
    <row r="8" spans="1:60" x14ac:dyDescent="0.2">
      <c r="A8" t="s">
        <v>35</v>
      </c>
      <c r="B8">
        <v>7269</v>
      </c>
      <c r="C8" s="2">
        <v>44688</v>
      </c>
      <c r="D8" t="s">
        <v>78</v>
      </c>
      <c r="E8">
        <v>2022</v>
      </c>
      <c r="F8">
        <v>5</v>
      </c>
      <c r="G8">
        <v>2</v>
      </c>
      <c r="H8" t="s">
        <v>79</v>
      </c>
      <c r="I8">
        <v>0.3</v>
      </c>
      <c r="J8" t="s">
        <v>69</v>
      </c>
      <c r="K8" t="s">
        <v>80</v>
      </c>
      <c r="L8" s="6">
        <v>1</v>
      </c>
      <c r="M8" s="4">
        <v>1</v>
      </c>
      <c r="N8" s="4">
        <f t="shared" si="0"/>
        <v>0</v>
      </c>
      <c r="O8">
        <v>1</v>
      </c>
      <c r="P8">
        <v>1</v>
      </c>
      <c r="Q8">
        <v>1</v>
      </c>
      <c r="R8">
        <v>18</v>
      </c>
      <c r="S8">
        <v>0.99862194100000001</v>
      </c>
      <c r="T8">
        <v>18</v>
      </c>
      <c r="U8">
        <v>0</v>
      </c>
      <c r="V8">
        <v>0</v>
      </c>
      <c r="W8">
        <v>0</v>
      </c>
      <c r="X8">
        <v>0</v>
      </c>
      <c r="Y8">
        <v>0</v>
      </c>
      <c r="Z8">
        <v>0</v>
      </c>
      <c r="AA8">
        <v>0</v>
      </c>
      <c r="AB8">
        <v>0</v>
      </c>
      <c r="AC8">
        <v>0</v>
      </c>
      <c r="AD8">
        <v>0</v>
      </c>
      <c r="AE8">
        <v>0</v>
      </c>
      <c r="AF8">
        <v>0</v>
      </c>
      <c r="AG8">
        <v>0</v>
      </c>
      <c r="AH8">
        <v>0</v>
      </c>
      <c r="AI8">
        <v>0</v>
      </c>
      <c r="AJ8">
        <v>0</v>
      </c>
      <c r="AK8">
        <v>0</v>
      </c>
      <c r="AL8">
        <v>0</v>
      </c>
      <c r="AM8">
        <v>1</v>
      </c>
      <c r="AN8">
        <v>0</v>
      </c>
      <c r="AO8">
        <v>0</v>
      </c>
      <c r="AP8">
        <v>0</v>
      </c>
      <c r="AQ8" t="s">
        <v>35</v>
      </c>
      <c r="AR8">
        <v>35</v>
      </c>
      <c r="AS8">
        <v>148</v>
      </c>
      <c r="AT8">
        <v>274</v>
      </c>
      <c r="AU8">
        <v>0.45985401459854008</v>
      </c>
      <c r="AV8" s="2">
        <v>44682</v>
      </c>
      <c r="AW8">
        <v>3.3018867924528281E-2</v>
      </c>
      <c r="AX8" t="s">
        <v>61</v>
      </c>
      <c r="AY8">
        <v>3.7974683544303812E-2</v>
      </c>
      <c r="AZ8">
        <v>1.714285714285704E-2</v>
      </c>
      <c r="BA8" t="s">
        <v>69</v>
      </c>
      <c r="BB8" t="s">
        <v>69</v>
      </c>
      <c r="BC8">
        <v>1</v>
      </c>
      <c r="BD8">
        <v>0</v>
      </c>
      <c r="BE8" t="s">
        <v>81</v>
      </c>
      <c r="BF8" t="s">
        <v>62</v>
      </c>
      <c r="BG8" t="s">
        <v>69</v>
      </c>
      <c r="BH8">
        <v>1</v>
      </c>
    </row>
    <row r="9" spans="1:60" x14ac:dyDescent="0.2">
      <c r="A9" t="s">
        <v>35</v>
      </c>
      <c r="B9">
        <v>23498</v>
      </c>
      <c r="C9" s="2">
        <v>44810</v>
      </c>
      <c r="D9" t="s">
        <v>67</v>
      </c>
      <c r="E9">
        <v>2022</v>
      </c>
      <c r="F9">
        <v>9</v>
      </c>
      <c r="G9">
        <v>3</v>
      </c>
      <c r="H9" t="s">
        <v>82</v>
      </c>
      <c r="I9">
        <v>0.05</v>
      </c>
      <c r="J9" t="s">
        <v>69</v>
      </c>
      <c r="K9" t="s">
        <v>83</v>
      </c>
      <c r="L9" s="6">
        <v>1</v>
      </c>
      <c r="M9" s="4">
        <v>1</v>
      </c>
      <c r="N9" s="4">
        <f t="shared" si="0"/>
        <v>0</v>
      </c>
      <c r="O9">
        <v>1</v>
      </c>
      <c r="P9">
        <v>1</v>
      </c>
      <c r="Q9">
        <v>1</v>
      </c>
      <c r="R9">
        <v>18</v>
      </c>
      <c r="S9">
        <v>0.97191715199999995</v>
      </c>
      <c r="T9">
        <v>18</v>
      </c>
      <c r="U9">
        <v>0</v>
      </c>
      <c r="V9">
        <v>0</v>
      </c>
      <c r="W9">
        <v>0</v>
      </c>
      <c r="X9">
        <v>0</v>
      </c>
      <c r="Y9">
        <v>0</v>
      </c>
      <c r="Z9">
        <v>0</v>
      </c>
      <c r="AA9">
        <v>0</v>
      </c>
      <c r="AB9">
        <v>0</v>
      </c>
      <c r="AC9">
        <v>0</v>
      </c>
      <c r="AD9">
        <v>0</v>
      </c>
      <c r="AE9">
        <v>0</v>
      </c>
      <c r="AF9">
        <v>0</v>
      </c>
      <c r="AG9">
        <v>0</v>
      </c>
      <c r="AH9">
        <v>0</v>
      </c>
      <c r="AI9">
        <v>0</v>
      </c>
      <c r="AJ9">
        <v>0</v>
      </c>
      <c r="AK9">
        <v>0</v>
      </c>
      <c r="AL9">
        <v>0</v>
      </c>
      <c r="AM9">
        <v>1</v>
      </c>
      <c r="AN9">
        <v>0</v>
      </c>
      <c r="AO9">
        <v>0</v>
      </c>
      <c r="AP9">
        <v>0</v>
      </c>
      <c r="AQ9" t="s">
        <v>35</v>
      </c>
      <c r="AR9">
        <v>22</v>
      </c>
      <c r="AS9">
        <v>26</v>
      </c>
      <c r="AT9">
        <v>274</v>
      </c>
      <c r="AU9">
        <v>0.9051094890510949</v>
      </c>
      <c r="AV9" s="2">
        <v>44808</v>
      </c>
      <c r="AW9">
        <v>5.8479532163742763E-2</v>
      </c>
      <c r="AX9" t="s">
        <v>61</v>
      </c>
      <c r="AY9">
        <v>0.1475409836065574</v>
      </c>
      <c r="AZ9">
        <v>0.1647727272727274</v>
      </c>
      <c r="BA9" t="s">
        <v>69</v>
      </c>
      <c r="BB9" t="s">
        <v>69</v>
      </c>
      <c r="BC9">
        <v>1</v>
      </c>
      <c r="BD9">
        <v>0</v>
      </c>
      <c r="BE9" t="s">
        <v>66</v>
      </c>
      <c r="BF9" t="s">
        <v>66</v>
      </c>
      <c r="BG9" t="s">
        <v>69</v>
      </c>
      <c r="BH9">
        <v>1</v>
      </c>
    </row>
    <row r="10" spans="1:60" x14ac:dyDescent="0.2">
      <c r="A10" t="s">
        <v>35</v>
      </c>
      <c r="B10">
        <v>23749</v>
      </c>
      <c r="C10" s="2">
        <v>44677</v>
      </c>
      <c r="D10" t="s">
        <v>84</v>
      </c>
      <c r="E10">
        <v>2022</v>
      </c>
      <c r="F10">
        <v>4</v>
      </c>
      <c r="G10">
        <v>2</v>
      </c>
      <c r="H10" t="s">
        <v>82</v>
      </c>
      <c r="I10">
        <v>0.05</v>
      </c>
      <c r="J10" t="s">
        <v>69</v>
      </c>
      <c r="K10" t="s">
        <v>85</v>
      </c>
      <c r="L10" s="6">
        <v>1</v>
      </c>
      <c r="M10" s="4">
        <v>1</v>
      </c>
      <c r="N10" s="4">
        <f t="shared" si="0"/>
        <v>0</v>
      </c>
      <c r="O10">
        <v>1</v>
      </c>
      <c r="P10">
        <v>1</v>
      </c>
      <c r="Q10">
        <v>1</v>
      </c>
      <c r="R10">
        <v>18</v>
      </c>
      <c r="S10">
        <v>0.93578094199999995</v>
      </c>
      <c r="T10">
        <v>18</v>
      </c>
      <c r="U10">
        <v>0</v>
      </c>
      <c r="V10">
        <v>0</v>
      </c>
      <c r="W10">
        <v>0</v>
      </c>
      <c r="X10">
        <v>0</v>
      </c>
      <c r="Y10">
        <v>0</v>
      </c>
      <c r="Z10">
        <v>0</v>
      </c>
      <c r="AA10">
        <v>0</v>
      </c>
      <c r="AB10">
        <v>0</v>
      </c>
      <c r="AC10">
        <v>0</v>
      </c>
      <c r="AD10">
        <v>0</v>
      </c>
      <c r="AE10">
        <v>0</v>
      </c>
      <c r="AF10">
        <v>0</v>
      </c>
      <c r="AG10">
        <v>0</v>
      </c>
      <c r="AH10">
        <v>0</v>
      </c>
      <c r="AI10">
        <v>0</v>
      </c>
      <c r="AJ10">
        <v>0</v>
      </c>
      <c r="AK10">
        <v>0</v>
      </c>
      <c r="AL10">
        <v>0</v>
      </c>
      <c r="AM10">
        <v>1</v>
      </c>
      <c r="AN10">
        <v>0</v>
      </c>
      <c r="AO10">
        <v>0</v>
      </c>
      <c r="AP10">
        <v>0</v>
      </c>
      <c r="AQ10" t="s">
        <v>35</v>
      </c>
      <c r="AR10">
        <v>45</v>
      </c>
      <c r="AS10">
        <v>159</v>
      </c>
      <c r="AT10">
        <v>274</v>
      </c>
      <c r="AU10">
        <v>0.41970802919708028</v>
      </c>
      <c r="AV10" s="2">
        <v>44675</v>
      </c>
      <c r="AW10">
        <v>5.8479532163742777E-2</v>
      </c>
      <c r="AX10" t="s">
        <v>61</v>
      </c>
      <c r="AY10">
        <v>0.30769230769230771</v>
      </c>
      <c r="AZ10">
        <v>0.1647727272727274</v>
      </c>
      <c r="BA10" t="s">
        <v>69</v>
      </c>
      <c r="BB10" t="s">
        <v>69</v>
      </c>
      <c r="BC10">
        <v>1</v>
      </c>
      <c r="BD10">
        <v>0</v>
      </c>
      <c r="BE10" t="s">
        <v>81</v>
      </c>
      <c r="BF10" t="s">
        <v>62</v>
      </c>
      <c r="BG10" t="s">
        <v>69</v>
      </c>
      <c r="BH10">
        <v>1</v>
      </c>
    </row>
    <row r="11" spans="1:60" x14ac:dyDescent="0.2">
      <c r="A11" t="s">
        <v>35</v>
      </c>
      <c r="B11">
        <v>27665</v>
      </c>
      <c r="C11" s="2">
        <v>44799</v>
      </c>
      <c r="D11" t="s">
        <v>63</v>
      </c>
      <c r="E11">
        <v>2022</v>
      </c>
      <c r="F11">
        <v>8</v>
      </c>
      <c r="G11">
        <v>3</v>
      </c>
      <c r="H11" t="s">
        <v>86</v>
      </c>
      <c r="I11">
        <v>0.83</v>
      </c>
      <c r="J11" t="s">
        <v>59</v>
      </c>
      <c r="K11" t="s">
        <v>87</v>
      </c>
      <c r="L11" s="6">
        <v>1</v>
      </c>
      <c r="M11" s="4">
        <v>1</v>
      </c>
      <c r="N11" s="4">
        <f t="shared" si="0"/>
        <v>0</v>
      </c>
      <c r="O11">
        <v>1</v>
      </c>
      <c r="P11">
        <v>1</v>
      </c>
      <c r="Q11">
        <v>1</v>
      </c>
      <c r="R11">
        <v>18</v>
      </c>
      <c r="S11">
        <v>0.995801508</v>
      </c>
      <c r="T11">
        <v>18</v>
      </c>
      <c r="U11">
        <v>0</v>
      </c>
      <c r="V11">
        <v>0</v>
      </c>
      <c r="W11">
        <v>0</v>
      </c>
      <c r="X11">
        <v>0</v>
      </c>
      <c r="Y11">
        <v>0</v>
      </c>
      <c r="Z11">
        <v>0</v>
      </c>
      <c r="AA11">
        <v>0</v>
      </c>
      <c r="AB11">
        <v>0</v>
      </c>
      <c r="AC11">
        <v>0</v>
      </c>
      <c r="AD11">
        <v>0</v>
      </c>
      <c r="AE11">
        <v>0</v>
      </c>
      <c r="AF11">
        <v>0</v>
      </c>
      <c r="AG11">
        <v>0</v>
      </c>
      <c r="AH11">
        <v>0</v>
      </c>
      <c r="AI11">
        <v>0</v>
      </c>
      <c r="AJ11">
        <v>0</v>
      </c>
      <c r="AK11">
        <v>0</v>
      </c>
      <c r="AL11">
        <v>0</v>
      </c>
      <c r="AM11">
        <v>1</v>
      </c>
      <c r="AN11">
        <v>0</v>
      </c>
      <c r="AO11">
        <v>0</v>
      </c>
      <c r="AP11">
        <v>0</v>
      </c>
      <c r="AQ11" t="s">
        <v>35</v>
      </c>
      <c r="AR11">
        <v>33</v>
      </c>
      <c r="AS11">
        <v>37</v>
      </c>
      <c r="AT11">
        <v>274</v>
      </c>
      <c r="AU11">
        <v>0.86496350364963503</v>
      </c>
      <c r="AV11" s="2">
        <v>44794</v>
      </c>
      <c r="AW11">
        <v>5.3830227743271238E-2</v>
      </c>
      <c r="AX11" t="s">
        <v>61</v>
      </c>
      <c r="AY11">
        <v>1.6666666666666649E-2</v>
      </c>
      <c r="AZ11">
        <v>3.065134099616867E-3</v>
      </c>
      <c r="BA11" t="s">
        <v>59</v>
      </c>
      <c r="BB11" t="s">
        <v>59</v>
      </c>
      <c r="BC11">
        <v>0</v>
      </c>
      <c r="BD11">
        <v>0</v>
      </c>
      <c r="BE11" t="s">
        <v>66</v>
      </c>
      <c r="BF11" t="s">
        <v>66</v>
      </c>
      <c r="BG11" t="s">
        <v>59</v>
      </c>
      <c r="BH11">
        <v>1</v>
      </c>
    </row>
    <row r="12" spans="1:60" x14ac:dyDescent="0.2">
      <c r="A12" t="s">
        <v>35</v>
      </c>
      <c r="B12">
        <v>23973</v>
      </c>
      <c r="C12" s="2">
        <v>44565</v>
      </c>
      <c r="D12" t="s">
        <v>88</v>
      </c>
      <c r="E12">
        <v>2022</v>
      </c>
      <c r="F12">
        <v>1</v>
      </c>
      <c r="G12">
        <v>1</v>
      </c>
      <c r="H12" t="s">
        <v>82</v>
      </c>
      <c r="I12">
        <v>0.05</v>
      </c>
      <c r="J12" t="s">
        <v>69</v>
      </c>
      <c r="K12" t="s">
        <v>89</v>
      </c>
      <c r="L12" s="6">
        <v>1</v>
      </c>
      <c r="M12" s="4">
        <v>1</v>
      </c>
      <c r="N12" s="4">
        <f t="shared" si="0"/>
        <v>0</v>
      </c>
      <c r="O12">
        <v>1</v>
      </c>
      <c r="P12">
        <v>1</v>
      </c>
      <c r="Q12">
        <v>1</v>
      </c>
      <c r="R12">
        <v>18</v>
      </c>
      <c r="S12">
        <v>0.77578949900000005</v>
      </c>
      <c r="T12">
        <v>18</v>
      </c>
      <c r="U12">
        <v>0</v>
      </c>
      <c r="V12">
        <v>0</v>
      </c>
      <c r="W12">
        <v>0</v>
      </c>
      <c r="X12">
        <v>0</v>
      </c>
      <c r="Y12">
        <v>0</v>
      </c>
      <c r="Z12">
        <v>0</v>
      </c>
      <c r="AA12">
        <v>0</v>
      </c>
      <c r="AB12">
        <v>0</v>
      </c>
      <c r="AC12">
        <v>0</v>
      </c>
      <c r="AD12">
        <v>0</v>
      </c>
      <c r="AE12">
        <v>0</v>
      </c>
      <c r="AF12">
        <v>0</v>
      </c>
      <c r="AG12">
        <v>0</v>
      </c>
      <c r="AH12">
        <v>0</v>
      </c>
      <c r="AI12">
        <v>0</v>
      </c>
      <c r="AJ12">
        <v>0</v>
      </c>
      <c r="AK12">
        <v>0</v>
      </c>
      <c r="AL12">
        <v>0</v>
      </c>
      <c r="AM12">
        <v>1</v>
      </c>
      <c r="AN12">
        <v>0</v>
      </c>
      <c r="AO12">
        <v>0</v>
      </c>
      <c r="AP12">
        <v>0</v>
      </c>
      <c r="AQ12" t="s">
        <v>35</v>
      </c>
      <c r="AR12">
        <v>40</v>
      </c>
      <c r="AS12">
        <v>271</v>
      </c>
      <c r="AT12">
        <v>274</v>
      </c>
      <c r="AU12">
        <v>1.094890510948905E-2</v>
      </c>
      <c r="AV12" s="2">
        <v>44563</v>
      </c>
      <c r="AW12">
        <v>6.0240963855421693E-2</v>
      </c>
      <c r="AX12" t="s">
        <v>61</v>
      </c>
      <c r="AY12">
        <v>0.33333333333333343</v>
      </c>
      <c r="AZ12">
        <v>0.1647727272727274</v>
      </c>
      <c r="BA12" t="s">
        <v>69</v>
      </c>
      <c r="BB12" t="s">
        <v>69</v>
      </c>
      <c r="BC12">
        <v>1</v>
      </c>
      <c r="BD12">
        <v>0</v>
      </c>
      <c r="BE12" t="s">
        <v>62</v>
      </c>
      <c r="BF12" t="s">
        <v>62</v>
      </c>
      <c r="BG12" t="s">
        <v>69</v>
      </c>
      <c r="BH12">
        <v>1</v>
      </c>
    </row>
    <row r="13" spans="1:60" x14ac:dyDescent="0.2">
      <c r="A13" t="s">
        <v>35</v>
      </c>
      <c r="B13">
        <v>19486</v>
      </c>
      <c r="C13" s="2">
        <v>44751</v>
      </c>
      <c r="D13" t="s">
        <v>90</v>
      </c>
      <c r="E13">
        <v>2022</v>
      </c>
      <c r="F13">
        <v>7</v>
      </c>
      <c r="G13">
        <v>3</v>
      </c>
      <c r="H13" t="s">
        <v>58</v>
      </c>
      <c r="I13">
        <v>0.81</v>
      </c>
      <c r="J13" t="s">
        <v>59</v>
      </c>
      <c r="K13" t="s">
        <v>91</v>
      </c>
      <c r="L13" s="6">
        <v>1</v>
      </c>
      <c r="M13" s="4">
        <v>1</v>
      </c>
      <c r="N13" s="4">
        <f t="shared" si="0"/>
        <v>0</v>
      </c>
      <c r="O13">
        <v>1</v>
      </c>
      <c r="P13">
        <v>1</v>
      </c>
      <c r="Q13">
        <v>1</v>
      </c>
      <c r="R13">
        <v>18</v>
      </c>
      <c r="S13">
        <v>0.99863380199999996</v>
      </c>
      <c r="T13">
        <v>18</v>
      </c>
      <c r="U13">
        <v>0</v>
      </c>
      <c r="V13">
        <v>0</v>
      </c>
      <c r="W13">
        <v>0</v>
      </c>
      <c r="X13">
        <v>0</v>
      </c>
      <c r="Y13">
        <v>0</v>
      </c>
      <c r="Z13">
        <v>0</v>
      </c>
      <c r="AA13">
        <v>0</v>
      </c>
      <c r="AB13">
        <v>0</v>
      </c>
      <c r="AC13">
        <v>0</v>
      </c>
      <c r="AD13">
        <v>0</v>
      </c>
      <c r="AE13">
        <v>0</v>
      </c>
      <c r="AF13">
        <v>0</v>
      </c>
      <c r="AG13">
        <v>0</v>
      </c>
      <c r="AH13">
        <v>0</v>
      </c>
      <c r="AI13">
        <v>0</v>
      </c>
      <c r="AJ13">
        <v>0</v>
      </c>
      <c r="AK13">
        <v>0</v>
      </c>
      <c r="AL13">
        <v>0</v>
      </c>
      <c r="AM13">
        <v>1</v>
      </c>
      <c r="AN13">
        <v>0</v>
      </c>
      <c r="AO13">
        <v>0</v>
      </c>
      <c r="AP13">
        <v>0</v>
      </c>
      <c r="AQ13" t="s">
        <v>35</v>
      </c>
      <c r="AR13">
        <v>44</v>
      </c>
      <c r="AS13">
        <v>85</v>
      </c>
      <c r="AT13">
        <v>274</v>
      </c>
      <c r="AU13">
        <v>0.68978102189781021</v>
      </c>
      <c r="AV13" s="2">
        <v>44745</v>
      </c>
      <c r="AW13">
        <v>5.2863436123348047E-2</v>
      </c>
      <c r="AX13" t="s">
        <v>61</v>
      </c>
      <c r="AY13">
        <v>3.125E-2</v>
      </c>
      <c r="AZ13">
        <v>8.8262910798122124E-2</v>
      </c>
      <c r="BA13" t="s">
        <v>59</v>
      </c>
      <c r="BB13" t="s">
        <v>59</v>
      </c>
      <c r="BC13">
        <v>0</v>
      </c>
      <c r="BD13">
        <v>0</v>
      </c>
      <c r="BE13" t="s">
        <v>81</v>
      </c>
      <c r="BF13" t="s">
        <v>62</v>
      </c>
      <c r="BG13" t="s">
        <v>59</v>
      </c>
      <c r="BH13">
        <v>1</v>
      </c>
    </row>
    <row r="14" spans="1:60" x14ac:dyDescent="0.2">
      <c r="A14" t="s">
        <v>35</v>
      </c>
      <c r="B14">
        <v>11491</v>
      </c>
      <c r="C14" s="2">
        <v>44682</v>
      </c>
      <c r="D14" t="s">
        <v>78</v>
      </c>
      <c r="E14">
        <v>2022</v>
      </c>
      <c r="F14">
        <v>5</v>
      </c>
      <c r="G14">
        <v>2</v>
      </c>
      <c r="H14" t="s">
        <v>73</v>
      </c>
      <c r="I14">
        <v>0.39</v>
      </c>
      <c r="J14" t="s">
        <v>74</v>
      </c>
      <c r="K14" t="s">
        <v>92</v>
      </c>
      <c r="L14" s="6">
        <v>1</v>
      </c>
      <c r="M14" s="4">
        <v>1</v>
      </c>
      <c r="N14" s="4">
        <f t="shared" si="0"/>
        <v>0</v>
      </c>
      <c r="O14">
        <v>1</v>
      </c>
      <c r="P14">
        <v>1</v>
      </c>
      <c r="Q14">
        <v>1</v>
      </c>
      <c r="R14">
        <v>18</v>
      </c>
      <c r="S14">
        <v>0.99292022000000002</v>
      </c>
      <c r="T14">
        <v>18</v>
      </c>
      <c r="U14">
        <v>0</v>
      </c>
      <c r="V14">
        <v>0</v>
      </c>
      <c r="W14">
        <v>0</v>
      </c>
      <c r="X14">
        <v>0</v>
      </c>
      <c r="Y14">
        <v>0</v>
      </c>
      <c r="Z14">
        <v>0</v>
      </c>
      <c r="AA14">
        <v>0</v>
      </c>
      <c r="AB14">
        <v>0</v>
      </c>
      <c r="AC14">
        <v>0</v>
      </c>
      <c r="AD14">
        <v>0</v>
      </c>
      <c r="AE14">
        <v>0</v>
      </c>
      <c r="AF14">
        <v>0</v>
      </c>
      <c r="AG14">
        <v>0</v>
      </c>
      <c r="AH14">
        <v>0</v>
      </c>
      <c r="AI14">
        <v>0</v>
      </c>
      <c r="AJ14">
        <v>0</v>
      </c>
      <c r="AK14">
        <v>0</v>
      </c>
      <c r="AL14">
        <v>0</v>
      </c>
      <c r="AM14">
        <v>1</v>
      </c>
      <c r="AN14">
        <v>0</v>
      </c>
      <c r="AO14">
        <v>0</v>
      </c>
      <c r="AP14">
        <v>0</v>
      </c>
      <c r="AQ14" t="s">
        <v>35</v>
      </c>
      <c r="AR14">
        <v>40</v>
      </c>
      <c r="AS14">
        <v>154</v>
      </c>
      <c r="AT14">
        <v>274</v>
      </c>
      <c r="AU14">
        <v>0.43795620437956212</v>
      </c>
      <c r="AV14" s="2">
        <v>44682</v>
      </c>
      <c r="AW14">
        <v>3.3018867924528281E-2</v>
      </c>
      <c r="AX14" t="s">
        <v>61</v>
      </c>
      <c r="AY14">
        <v>0.1</v>
      </c>
      <c r="AZ14">
        <v>5.7251908396946792E-2</v>
      </c>
      <c r="BA14" t="s">
        <v>69</v>
      </c>
      <c r="BB14" t="s">
        <v>69</v>
      </c>
      <c r="BC14">
        <v>1</v>
      </c>
      <c r="BD14">
        <v>0</v>
      </c>
      <c r="BE14" t="s">
        <v>81</v>
      </c>
      <c r="BF14" t="s">
        <v>62</v>
      </c>
      <c r="BG14" t="s">
        <v>69</v>
      </c>
      <c r="BH14">
        <v>1</v>
      </c>
    </row>
    <row r="15" spans="1:60" x14ac:dyDescent="0.2">
      <c r="A15" t="s">
        <v>35</v>
      </c>
      <c r="B15">
        <v>11516</v>
      </c>
      <c r="C15" s="2">
        <v>44677</v>
      </c>
      <c r="D15" t="s">
        <v>84</v>
      </c>
      <c r="E15">
        <v>2022</v>
      </c>
      <c r="F15">
        <v>4</v>
      </c>
      <c r="G15">
        <v>2</v>
      </c>
      <c r="H15" t="s">
        <v>73</v>
      </c>
      <c r="I15">
        <v>0.39</v>
      </c>
      <c r="J15" t="s">
        <v>74</v>
      </c>
      <c r="K15" t="s">
        <v>93</v>
      </c>
      <c r="L15" s="6">
        <v>1</v>
      </c>
      <c r="M15" s="4">
        <v>1</v>
      </c>
      <c r="N15" s="4">
        <f t="shared" si="0"/>
        <v>0</v>
      </c>
      <c r="O15">
        <v>1</v>
      </c>
      <c r="P15">
        <v>1</v>
      </c>
      <c r="Q15">
        <v>1</v>
      </c>
      <c r="R15">
        <v>18</v>
      </c>
      <c r="S15">
        <v>0.99846833899999998</v>
      </c>
      <c r="T15">
        <v>18</v>
      </c>
      <c r="U15">
        <v>0</v>
      </c>
      <c r="V15">
        <v>0</v>
      </c>
      <c r="W15">
        <v>0</v>
      </c>
      <c r="X15">
        <v>0</v>
      </c>
      <c r="Y15">
        <v>0</v>
      </c>
      <c r="Z15">
        <v>0</v>
      </c>
      <c r="AA15">
        <v>0</v>
      </c>
      <c r="AB15">
        <v>0</v>
      </c>
      <c r="AC15">
        <v>0</v>
      </c>
      <c r="AD15">
        <v>0</v>
      </c>
      <c r="AE15">
        <v>0</v>
      </c>
      <c r="AF15">
        <v>0</v>
      </c>
      <c r="AG15">
        <v>0</v>
      </c>
      <c r="AH15">
        <v>0</v>
      </c>
      <c r="AI15">
        <v>0</v>
      </c>
      <c r="AJ15">
        <v>0</v>
      </c>
      <c r="AK15">
        <v>0</v>
      </c>
      <c r="AL15">
        <v>0</v>
      </c>
      <c r="AM15">
        <v>1</v>
      </c>
      <c r="AN15">
        <v>0</v>
      </c>
      <c r="AO15">
        <v>0</v>
      </c>
      <c r="AP15">
        <v>0</v>
      </c>
      <c r="AQ15" t="s">
        <v>35</v>
      </c>
      <c r="AR15">
        <v>41</v>
      </c>
      <c r="AS15">
        <v>159</v>
      </c>
      <c r="AT15">
        <v>274</v>
      </c>
      <c r="AU15">
        <v>0.41970802919708028</v>
      </c>
      <c r="AV15" s="2">
        <v>44675</v>
      </c>
      <c r="AW15">
        <v>5.8479532163742777E-2</v>
      </c>
      <c r="AX15" t="s">
        <v>61</v>
      </c>
      <c r="AY15">
        <v>5.2631578947368453E-2</v>
      </c>
      <c r="AZ15">
        <v>5.7251908396946792E-2</v>
      </c>
      <c r="BA15" t="s">
        <v>69</v>
      </c>
      <c r="BB15" t="s">
        <v>69</v>
      </c>
      <c r="BC15">
        <v>1</v>
      </c>
      <c r="BD15">
        <v>0</v>
      </c>
      <c r="BE15" t="s">
        <v>81</v>
      </c>
      <c r="BF15" t="s">
        <v>62</v>
      </c>
      <c r="BG15" t="s">
        <v>69</v>
      </c>
      <c r="BH15">
        <v>1</v>
      </c>
    </row>
    <row r="16" spans="1:60" x14ac:dyDescent="0.2">
      <c r="A16" t="s">
        <v>35</v>
      </c>
      <c r="B16">
        <v>21128</v>
      </c>
      <c r="C16" s="2">
        <v>44818</v>
      </c>
      <c r="D16" t="s">
        <v>67</v>
      </c>
      <c r="E16">
        <v>2022</v>
      </c>
      <c r="F16">
        <v>9</v>
      </c>
      <c r="G16">
        <v>3</v>
      </c>
      <c r="H16" t="s">
        <v>68</v>
      </c>
      <c r="I16">
        <v>0.09</v>
      </c>
      <c r="J16" t="s">
        <v>69</v>
      </c>
      <c r="K16" t="s">
        <v>94</v>
      </c>
      <c r="L16" s="6">
        <v>1</v>
      </c>
      <c r="M16" s="4">
        <v>1</v>
      </c>
      <c r="N16" s="4">
        <f t="shared" si="0"/>
        <v>0</v>
      </c>
      <c r="O16">
        <v>1</v>
      </c>
      <c r="P16">
        <v>1</v>
      </c>
      <c r="Q16">
        <v>1</v>
      </c>
      <c r="R16">
        <v>18</v>
      </c>
      <c r="S16">
        <v>0.98868304500000004</v>
      </c>
      <c r="T16">
        <v>18</v>
      </c>
      <c r="U16">
        <v>0</v>
      </c>
      <c r="V16">
        <v>0</v>
      </c>
      <c r="W16">
        <v>0</v>
      </c>
      <c r="X16">
        <v>0</v>
      </c>
      <c r="Y16">
        <v>0</v>
      </c>
      <c r="Z16">
        <v>0</v>
      </c>
      <c r="AA16">
        <v>0</v>
      </c>
      <c r="AB16">
        <v>0</v>
      </c>
      <c r="AC16">
        <v>0</v>
      </c>
      <c r="AD16">
        <v>0</v>
      </c>
      <c r="AE16">
        <v>0</v>
      </c>
      <c r="AF16">
        <v>0</v>
      </c>
      <c r="AG16">
        <v>0</v>
      </c>
      <c r="AH16">
        <v>0</v>
      </c>
      <c r="AI16">
        <v>0</v>
      </c>
      <c r="AJ16">
        <v>0</v>
      </c>
      <c r="AK16">
        <v>0</v>
      </c>
      <c r="AL16">
        <v>0</v>
      </c>
      <c r="AM16">
        <v>1</v>
      </c>
      <c r="AN16">
        <v>0</v>
      </c>
      <c r="AO16">
        <v>0</v>
      </c>
      <c r="AP16">
        <v>0</v>
      </c>
      <c r="AQ16" t="s">
        <v>35</v>
      </c>
      <c r="AR16">
        <v>43</v>
      </c>
      <c r="AS16">
        <v>18</v>
      </c>
      <c r="AT16">
        <v>274</v>
      </c>
      <c r="AU16">
        <v>0.93430656934306566</v>
      </c>
      <c r="AV16" s="2">
        <v>44815</v>
      </c>
      <c r="AW16">
        <v>4.0955631399317419E-2</v>
      </c>
      <c r="AX16" t="s">
        <v>61</v>
      </c>
      <c r="AY16">
        <v>4.9999999999999989E-2</v>
      </c>
      <c r="AZ16">
        <v>3.7735849056603571E-2</v>
      </c>
      <c r="BA16" t="s">
        <v>69</v>
      </c>
      <c r="BB16" t="s">
        <v>69</v>
      </c>
      <c r="BC16">
        <v>1</v>
      </c>
      <c r="BD16">
        <v>0</v>
      </c>
      <c r="BE16" t="s">
        <v>66</v>
      </c>
      <c r="BF16" t="s">
        <v>66</v>
      </c>
      <c r="BG16" t="s">
        <v>69</v>
      </c>
      <c r="BH16">
        <v>1</v>
      </c>
    </row>
    <row r="17" spans="1:60" x14ac:dyDescent="0.2">
      <c r="A17" t="s">
        <v>35</v>
      </c>
      <c r="B17">
        <v>23748</v>
      </c>
      <c r="C17" s="2">
        <v>44678</v>
      </c>
      <c r="D17" t="s">
        <v>84</v>
      </c>
      <c r="E17">
        <v>2022</v>
      </c>
      <c r="F17">
        <v>4</v>
      </c>
      <c r="G17">
        <v>2</v>
      </c>
      <c r="H17" t="s">
        <v>82</v>
      </c>
      <c r="I17">
        <v>0.05</v>
      </c>
      <c r="J17" t="s">
        <v>69</v>
      </c>
      <c r="K17" t="s">
        <v>95</v>
      </c>
      <c r="L17" s="6">
        <v>1</v>
      </c>
      <c r="M17" s="4">
        <v>1</v>
      </c>
      <c r="N17" s="4">
        <f t="shared" si="0"/>
        <v>0</v>
      </c>
      <c r="O17">
        <v>1</v>
      </c>
      <c r="P17">
        <v>1</v>
      </c>
      <c r="Q17">
        <v>1</v>
      </c>
      <c r="R17">
        <v>18</v>
      </c>
      <c r="S17">
        <v>0.993333519</v>
      </c>
      <c r="T17">
        <v>18</v>
      </c>
      <c r="U17">
        <v>0</v>
      </c>
      <c r="V17">
        <v>0</v>
      </c>
      <c r="W17">
        <v>0</v>
      </c>
      <c r="X17">
        <v>0</v>
      </c>
      <c r="Y17">
        <v>0</v>
      </c>
      <c r="Z17">
        <v>0</v>
      </c>
      <c r="AA17">
        <v>0</v>
      </c>
      <c r="AB17">
        <v>0</v>
      </c>
      <c r="AC17">
        <v>0</v>
      </c>
      <c r="AD17">
        <v>0</v>
      </c>
      <c r="AE17">
        <v>0</v>
      </c>
      <c r="AF17">
        <v>0</v>
      </c>
      <c r="AG17">
        <v>0</v>
      </c>
      <c r="AH17">
        <v>0</v>
      </c>
      <c r="AI17">
        <v>0</v>
      </c>
      <c r="AJ17">
        <v>0</v>
      </c>
      <c r="AK17">
        <v>0</v>
      </c>
      <c r="AL17">
        <v>0</v>
      </c>
      <c r="AM17">
        <v>1</v>
      </c>
      <c r="AN17">
        <v>0</v>
      </c>
      <c r="AO17">
        <v>0</v>
      </c>
      <c r="AP17">
        <v>0</v>
      </c>
      <c r="AQ17" t="s">
        <v>35</v>
      </c>
      <c r="AR17">
        <v>34</v>
      </c>
      <c r="AS17">
        <v>158</v>
      </c>
      <c r="AT17">
        <v>274</v>
      </c>
      <c r="AU17">
        <v>0.42335766423357662</v>
      </c>
      <c r="AV17" s="2">
        <v>44675</v>
      </c>
      <c r="AW17">
        <v>5.8479532163742777E-2</v>
      </c>
      <c r="AX17" t="s">
        <v>61</v>
      </c>
      <c r="AY17">
        <v>0.30769230769230771</v>
      </c>
      <c r="AZ17">
        <v>0.1647727272727274</v>
      </c>
      <c r="BA17" t="s">
        <v>69</v>
      </c>
      <c r="BB17" t="s">
        <v>69</v>
      </c>
      <c r="BC17">
        <v>1</v>
      </c>
      <c r="BD17">
        <v>0</v>
      </c>
      <c r="BE17" t="s">
        <v>81</v>
      </c>
      <c r="BF17" t="s">
        <v>62</v>
      </c>
      <c r="BG17" t="s">
        <v>69</v>
      </c>
      <c r="BH17">
        <v>1</v>
      </c>
    </row>
    <row r="18" spans="1:60" x14ac:dyDescent="0.2">
      <c r="A18" t="s">
        <v>35</v>
      </c>
      <c r="B18">
        <v>23758</v>
      </c>
      <c r="C18" s="2">
        <v>44673</v>
      </c>
      <c r="D18" t="s">
        <v>84</v>
      </c>
      <c r="E18">
        <v>2022</v>
      </c>
      <c r="F18">
        <v>4</v>
      </c>
      <c r="G18">
        <v>2</v>
      </c>
      <c r="H18" t="s">
        <v>82</v>
      </c>
      <c r="I18">
        <v>0.05</v>
      </c>
      <c r="J18" t="s">
        <v>69</v>
      </c>
      <c r="K18" t="s">
        <v>96</v>
      </c>
      <c r="L18" s="6">
        <v>1</v>
      </c>
      <c r="M18" s="4">
        <v>1</v>
      </c>
      <c r="N18" s="4">
        <f t="shared" si="0"/>
        <v>0</v>
      </c>
      <c r="O18">
        <v>1</v>
      </c>
      <c r="P18">
        <v>1</v>
      </c>
      <c r="Q18">
        <v>1</v>
      </c>
      <c r="R18">
        <v>18</v>
      </c>
      <c r="S18">
        <v>0.80973494099999999</v>
      </c>
      <c r="T18">
        <v>18</v>
      </c>
      <c r="U18">
        <v>0</v>
      </c>
      <c r="V18">
        <v>0</v>
      </c>
      <c r="W18">
        <v>0</v>
      </c>
      <c r="X18">
        <v>0</v>
      </c>
      <c r="Y18">
        <v>0</v>
      </c>
      <c r="Z18">
        <v>0</v>
      </c>
      <c r="AA18">
        <v>0</v>
      </c>
      <c r="AB18">
        <v>0</v>
      </c>
      <c r="AC18">
        <v>0</v>
      </c>
      <c r="AD18">
        <v>0</v>
      </c>
      <c r="AE18">
        <v>0</v>
      </c>
      <c r="AF18">
        <v>0</v>
      </c>
      <c r="AG18">
        <v>0</v>
      </c>
      <c r="AH18">
        <v>0</v>
      </c>
      <c r="AI18">
        <v>0</v>
      </c>
      <c r="AJ18">
        <v>0</v>
      </c>
      <c r="AK18">
        <v>0</v>
      </c>
      <c r="AL18">
        <v>0</v>
      </c>
      <c r="AM18">
        <v>1</v>
      </c>
      <c r="AN18">
        <v>0</v>
      </c>
      <c r="AO18">
        <v>0</v>
      </c>
      <c r="AP18">
        <v>0</v>
      </c>
      <c r="AQ18" t="s">
        <v>35</v>
      </c>
      <c r="AR18">
        <v>40</v>
      </c>
      <c r="AS18">
        <v>163</v>
      </c>
      <c r="AT18">
        <v>274</v>
      </c>
      <c r="AU18">
        <v>0.4051094890510949</v>
      </c>
      <c r="AV18" s="2">
        <v>44668</v>
      </c>
      <c r="AW18">
        <v>2.6086956521739119E-2</v>
      </c>
      <c r="AX18" t="s">
        <v>61</v>
      </c>
      <c r="AY18">
        <v>0.125</v>
      </c>
      <c r="AZ18">
        <v>0.1647727272727274</v>
      </c>
      <c r="BA18" t="s">
        <v>69</v>
      </c>
      <c r="BB18" t="s">
        <v>69</v>
      </c>
      <c r="BC18">
        <v>1</v>
      </c>
      <c r="BD18">
        <v>0</v>
      </c>
      <c r="BE18" t="s">
        <v>81</v>
      </c>
      <c r="BF18" t="s">
        <v>62</v>
      </c>
      <c r="BG18" t="s">
        <v>69</v>
      </c>
      <c r="BH18">
        <v>1</v>
      </c>
    </row>
    <row r="19" spans="1:60" x14ac:dyDescent="0.2">
      <c r="A19" t="s">
        <v>35</v>
      </c>
      <c r="B19">
        <v>20540</v>
      </c>
      <c r="C19" s="2">
        <v>44904</v>
      </c>
      <c r="D19" t="s">
        <v>76</v>
      </c>
      <c r="E19">
        <v>2022</v>
      </c>
      <c r="F19">
        <v>12</v>
      </c>
      <c r="G19">
        <v>4</v>
      </c>
      <c r="H19" t="s">
        <v>68</v>
      </c>
      <c r="I19">
        <v>0.09</v>
      </c>
      <c r="J19" t="s">
        <v>69</v>
      </c>
      <c r="K19" t="s">
        <v>97</v>
      </c>
      <c r="L19" s="6">
        <v>1</v>
      </c>
      <c r="M19" s="4">
        <v>1</v>
      </c>
      <c r="N19" s="4">
        <f t="shared" si="0"/>
        <v>0</v>
      </c>
      <c r="O19">
        <v>1</v>
      </c>
      <c r="P19">
        <v>1</v>
      </c>
      <c r="Q19">
        <v>1</v>
      </c>
      <c r="R19">
        <v>18</v>
      </c>
      <c r="S19">
        <v>0.91515010600000002</v>
      </c>
      <c r="T19">
        <v>18</v>
      </c>
      <c r="U19">
        <v>0</v>
      </c>
      <c r="V19">
        <v>0</v>
      </c>
      <c r="W19">
        <v>0</v>
      </c>
      <c r="X19">
        <v>0</v>
      </c>
      <c r="Y19">
        <v>0</v>
      </c>
      <c r="Z19">
        <v>0</v>
      </c>
      <c r="AA19">
        <v>0</v>
      </c>
      <c r="AB19">
        <v>0</v>
      </c>
      <c r="AC19">
        <v>0</v>
      </c>
      <c r="AD19">
        <v>0</v>
      </c>
      <c r="AE19">
        <v>0</v>
      </c>
      <c r="AF19">
        <v>0</v>
      </c>
      <c r="AG19">
        <v>0</v>
      </c>
      <c r="AH19">
        <v>0</v>
      </c>
      <c r="AI19">
        <v>0</v>
      </c>
      <c r="AJ19">
        <v>0</v>
      </c>
      <c r="AK19">
        <v>0</v>
      </c>
      <c r="AL19">
        <v>0</v>
      </c>
      <c r="AM19">
        <v>1</v>
      </c>
      <c r="AN19">
        <v>0</v>
      </c>
      <c r="AO19">
        <v>0</v>
      </c>
      <c r="AP19">
        <v>0</v>
      </c>
      <c r="AQ19" t="s">
        <v>35</v>
      </c>
      <c r="AR19">
        <v>45</v>
      </c>
      <c r="AT19">
        <v>274</v>
      </c>
      <c r="AV19" s="2">
        <v>44899</v>
      </c>
      <c r="AW19">
        <v>1.612903225806453E-2</v>
      </c>
      <c r="AX19" t="s">
        <v>61</v>
      </c>
      <c r="AY19">
        <v>2.1739130434782619E-2</v>
      </c>
      <c r="AZ19">
        <v>3.7735849056603571E-2</v>
      </c>
      <c r="BA19" t="s">
        <v>69</v>
      </c>
      <c r="BB19" t="s">
        <v>69</v>
      </c>
      <c r="BC19">
        <v>1</v>
      </c>
      <c r="BD19">
        <v>0</v>
      </c>
      <c r="BE19" t="s">
        <v>62</v>
      </c>
      <c r="BF19" t="s">
        <v>62</v>
      </c>
      <c r="BG19" t="s">
        <v>69</v>
      </c>
      <c r="BH19">
        <v>1</v>
      </c>
    </row>
    <row r="20" spans="1:60" x14ac:dyDescent="0.2">
      <c r="A20" t="s">
        <v>35</v>
      </c>
      <c r="B20">
        <v>11528</v>
      </c>
      <c r="C20" s="2">
        <v>44677</v>
      </c>
      <c r="D20" t="s">
        <v>84</v>
      </c>
      <c r="E20">
        <v>2022</v>
      </c>
      <c r="F20">
        <v>4</v>
      </c>
      <c r="G20">
        <v>2</v>
      </c>
      <c r="H20" t="s">
        <v>73</v>
      </c>
      <c r="I20">
        <v>0.39</v>
      </c>
      <c r="J20" t="s">
        <v>74</v>
      </c>
      <c r="K20" t="s">
        <v>98</v>
      </c>
      <c r="L20" s="6">
        <v>1</v>
      </c>
      <c r="M20" s="4">
        <v>1</v>
      </c>
      <c r="N20" s="4">
        <f t="shared" si="0"/>
        <v>0</v>
      </c>
      <c r="O20">
        <v>1</v>
      </c>
      <c r="P20">
        <v>1</v>
      </c>
      <c r="Q20">
        <v>1</v>
      </c>
      <c r="R20">
        <v>18</v>
      </c>
      <c r="S20">
        <v>0.96286720000000003</v>
      </c>
      <c r="T20">
        <v>18</v>
      </c>
      <c r="U20">
        <v>0</v>
      </c>
      <c r="V20">
        <v>0</v>
      </c>
      <c r="W20">
        <v>0</v>
      </c>
      <c r="X20">
        <v>0</v>
      </c>
      <c r="Y20">
        <v>0</v>
      </c>
      <c r="Z20">
        <v>0</v>
      </c>
      <c r="AA20">
        <v>0</v>
      </c>
      <c r="AB20">
        <v>0</v>
      </c>
      <c r="AC20">
        <v>0</v>
      </c>
      <c r="AD20">
        <v>0</v>
      </c>
      <c r="AE20">
        <v>0</v>
      </c>
      <c r="AF20">
        <v>0</v>
      </c>
      <c r="AG20">
        <v>0</v>
      </c>
      <c r="AH20">
        <v>0</v>
      </c>
      <c r="AI20">
        <v>0</v>
      </c>
      <c r="AJ20">
        <v>0</v>
      </c>
      <c r="AK20">
        <v>0</v>
      </c>
      <c r="AL20">
        <v>0</v>
      </c>
      <c r="AM20">
        <v>1</v>
      </c>
      <c r="AN20">
        <v>0</v>
      </c>
      <c r="AO20">
        <v>0</v>
      </c>
      <c r="AP20">
        <v>0</v>
      </c>
      <c r="AQ20" t="s">
        <v>35</v>
      </c>
      <c r="AR20">
        <v>54</v>
      </c>
      <c r="AS20">
        <v>159</v>
      </c>
      <c r="AT20">
        <v>274</v>
      </c>
      <c r="AU20">
        <v>0.41970802919708028</v>
      </c>
      <c r="AV20" s="2">
        <v>44675</v>
      </c>
      <c r="AW20">
        <v>5.8479532163742777E-2</v>
      </c>
      <c r="AX20" t="s">
        <v>61</v>
      </c>
      <c r="AY20">
        <v>5.2631578947368453E-2</v>
      </c>
      <c r="AZ20">
        <v>5.7251908396946792E-2</v>
      </c>
      <c r="BA20" t="s">
        <v>69</v>
      </c>
      <c r="BB20" t="s">
        <v>69</v>
      </c>
      <c r="BC20">
        <v>1</v>
      </c>
      <c r="BD20">
        <v>0</v>
      </c>
      <c r="BE20" t="s">
        <v>81</v>
      </c>
      <c r="BF20" t="s">
        <v>62</v>
      </c>
      <c r="BG20" t="s">
        <v>69</v>
      </c>
      <c r="BH20">
        <v>1</v>
      </c>
    </row>
    <row r="21" spans="1:60" x14ac:dyDescent="0.2">
      <c r="A21" t="s">
        <v>35</v>
      </c>
      <c r="B21">
        <v>19202</v>
      </c>
      <c r="C21" s="2">
        <v>44807</v>
      </c>
      <c r="D21" t="s">
        <v>67</v>
      </c>
      <c r="E21">
        <v>2022</v>
      </c>
      <c r="F21">
        <v>9</v>
      </c>
      <c r="G21">
        <v>3</v>
      </c>
      <c r="H21" t="s">
        <v>58</v>
      </c>
      <c r="I21">
        <v>0.81</v>
      </c>
      <c r="J21" t="s">
        <v>59</v>
      </c>
      <c r="K21" t="s">
        <v>99</v>
      </c>
      <c r="L21" s="6">
        <v>1</v>
      </c>
      <c r="M21" s="4">
        <v>1</v>
      </c>
      <c r="N21" s="4">
        <f t="shared" si="0"/>
        <v>0</v>
      </c>
      <c r="O21">
        <v>1</v>
      </c>
      <c r="P21">
        <v>1</v>
      </c>
      <c r="Q21">
        <v>1</v>
      </c>
      <c r="R21">
        <v>18</v>
      </c>
      <c r="S21">
        <v>0.94013190300000005</v>
      </c>
      <c r="T21">
        <v>18</v>
      </c>
      <c r="U21">
        <v>0</v>
      </c>
      <c r="V21">
        <v>0</v>
      </c>
      <c r="W21">
        <v>0</v>
      </c>
      <c r="X21">
        <v>0</v>
      </c>
      <c r="Y21">
        <v>0</v>
      </c>
      <c r="Z21">
        <v>0</v>
      </c>
      <c r="AA21">
        <v>0</v>
      </c>
      <c r="AB21">
        <v>0</v>
      </c>
      <c r="AC21">
        <v>0</v>
      </c>
      <c r="AD21">
        <v>0</v>
      </c>
      <c r="AE21">
        <v>0</v>
      </c>
      <c r="AF21">
        <v>0</v>
      </c>
      <c r="AG21">
        <v>0</v>
      </c>
      <c r="AH21">
        <v>0</v>
      </c>
      <c r="AI21">
        <v>0</v>
      </c>
      <c r="AJ21">
        <v>0</v>
      </c>
      <c r="AK21">
        <v>0</v>
      </c>
      <c r="AL21">
        <v>0</v>
      </c>
      <c r="AM21">
        <v>1</v>
      </c>
      <c r="AN21">
        <v>0</v>
      </c>
      <c r="AO21">
        <v>0</v>
      </c>
      <c r="AP21">
        <v>0</v>
      </c>
      <c r="AQ21" t="s">
        <v>35</v>
      </c>
      <c r="AR21">
        <v>40</v>
      </c>
      <c r="AS21">
        <v>29</v>
      </c>
      <c r="AT21">
        <v>274</v>
      </c>
      <c r="AU21">
        <v>0.8941605839416058</v>
      </c>
      <c r="AV21" s="2">
        <v>44801</v>
      </c>
      <c r="AW21">
        <v>4.031007751937974E-2</v>
      </c>
      <c r="AX21" t="s">
        <v>61</v>
      </c>
      <c r="AY21">
        <v>5.7692307692307682E-2</v>
      </c>
      <c r="AZ21">
        <v>8.8262910798122124E-2</v>
      </c>
      <c r="BA21" t="s">
        <v>59</v>
      </c>
      <c r="BB21" t="s">
        <v>59</v>
      </c>
      <c r="BC21">
        <v>0</v>
      </c>
      <c r="BD21">
        <v>0</v>
      </c>
      <c r="BE21" t="s">
        <v>66</v>
      </c>
      <c r="BF21" t="s">
        <v>66</v>
      </c>
      <c r="BG21" t="s">
        <v>59</v>
      </c>
      <c r="BH21">
        <v>1</v>
      </c>
    </row>
    <row r="22" spans="1:60" x14ac:dyDescent="0.2">
      <c r="A22" t="s">
        <v>35</v>
      </c>
      <c r="B22">
        <v>23345</v>
      </c>
      <c r="C22" s="2">
        <v>44863</v>
      </c>
      <c r="D22" t="s">
        <v>100</v>
      </c>
      <c r="E22">
        <v>2022</v>
      </c>
      <c r="F22">
        <v>10</v>
      </c>
      <c r="G22">
        <v>4</v>
      </c>
      <c r="H22" t="s">
        <v>82</v>
      </c>
      <c r="I22">
        <v>0.05</v>
      </c>
      <c r="J22" t="s">
        <v>69</v>
      </c>
      <c r="K22" t="s">
        <v>101</v>
      </c>
      <c r="L22" s="6">
        <v>1</v>
      </c>
      <c r="M22" s="4">
        <v>1</v>
      </c>
      <c r="N22" s="4">
        <f t="shared" si="0"/>
        <v>0</v>
      </c>
      <c r="O22">
        <v>1</v>
      </c>
      <c r="P22">
        <v>1</v>
      </c>
      <c r="Q22">
        <v>1</v>
      </c>
      <c r="R22">
        <v>18</v>
      </c>
      <c r="S22">
        <v>0.98324465800000005</v>
      </c>
      <c r="T22">
        <v>18</v>
      </c>
      <c r="U22">
        <v>0</v>
      </c>
      <c r="V22">
        <v>0</v>
      </c>
      <c r="W22">
        <v>0</v>
      </c>
      <c r="X22">
        <v>0</v>
      </c>
      <c r="Y22">
        <v>0</v>
      </c>
      <c r="Z22">
        <v>0</v>
      </c>
      <c r="AA22">
        <v>0</v>
      </c>
      <c r="AB22">
        <v>0</v>
      </c>
      <c r="AC22">
        <v>0</v>
      </c>
      <c r="AD22">
        <v>0</v>
      </c>
      <c r="AE22">
        <v>0</v>
      </c>
      <c r="AF22">
        <v>0</v>
      </c>
      <c r="AG22">
        <v>0</v>
      </c>
      <c r="AH22">
        <v>0</v>
      </c>
      <c r="AI22">
        <v>0</v>
      </c>
      <c r="AJ22">
        <v>0</v>
      </c>
      <c r="AK22">
        <v>0</v>
      </c>
      <c r="AL22">
        <v>0</v>
      </c>
      <c r="AM22">
        <v>1</v>
      </c>
      <c r="AN22">
        <v>0</v>
      </c>
      <c r="AO22">
        <v>0</v>
      </c>
      <c r="AP22">
        <v>0</v>
      </c>
      <c r="AQ22" t="s">
        <v>35</v>
      </c>
      <c r="AR22">
        <v>40</v>
      </c>
      <c r="AT22">
        <v>274</v>
      </c>
      <c r="AV22" s="2">
        <v>44857</v>
      </c>
      <c r="AW22">
        <v>6.1696658097686437E-2</v>
      </c>
      <c r="AX22" t="s">
        <v>61</v>
      </c>
      <c r="AY22">
        <v>0.27586206896551718</v>
      </c>
      <c r="AZ22">
        <v>0.1647727272727274</v>
      </c>
      <c r="BA22" t="s">
        <v>69</v>
      </c>
      <c r="BB22" t="s">
        <v>69</v>
      </c>
      <c r="BC22">
        <v>1</v>
      </c>
      <c r="BD22">
        <v>0</v>
      </c>
      <c r="BE22" t="s">
        <v>66</v>
      </c>
      <c r="BF22" t="s">
        <v>66</v>
      </c>
      <c r="BG22" t="s">
        <v>69</v>
      </c>
      <c r="BH22">
        <v>1</v>
      </c>
    </row>
    <row r="23" spans="1:60" x14ac:dyDescent="0.2">
      <c r="A23" t="s">
        <v>35</v>
      </c>
      <c r="B23">
        <v>11744</v>
      </c>
      <c r="C23" s="2">
        <v>44618</v>
      </c>
      <c r="D23" t="s">
        <v>57</v>
      </c>
      <c r="E23">
        <v>2022</v>
      </c>
      <c r="F23">
        <v>2</v>
      </c>
      <c r="G23">
        <v>1</v>
      </c>
      <c r="H23" t="s">
        <v>73</v>
      </c>
      <c r="I23">
        <v>0.39</v>
      </c>
      <c r="J23" t="s">
        <v>74</v>
      </c>
      <c r="K23" t="s">
        <v>102</v>
      </c>
      <c r="L23" s="6">
        <v>1</v>
      </c>
      <c r="M23" s="4">
        <v>1</v>
      </c>
      <c r="N23" s="4">
        <f t="shared" si="0"/>
        <v>0</v>
      </c>
      <c r="O23">
        <v>1</v>
      </c>
      <c r="P23">
        <v>1</v>
      </c>
      <c r="Q23">
        <v>1</v>
      </c>
      <c r="R23">
        <v>18</v>
      </c>
      <c r="S23">
        <v>0.99862801999999995</v>
      </c>
      <c r="T23">
        <v>18</v>
      </c>
      <c r="U23">
        <v>0</v>
      </c>
      <c r="V23">
        <v>0</v>
      </c>
      <c r="W23">
        <v>0</v>
      </c>
      <c r="X23">
        <v>0</v>
      </c>
      <c r="Y23">
        <v>0</v>
      </c>
      <c r="Z23">
        <v>0</v>
      </c>
      <c r="AA23">
        <v>0</v>
      </c>
      <c r="AB23">
        <v>0</v>
      </c>
      <c r="AC23">
        <v>0</v>
      </c>
      <c r="AD23">
        <v>0</v>
      </c>
      <c r="AE23">
        <v>0</v>
      </c>
      <c r="AF23">
        <v>0</v>
      </c>
      <c r="AG23">
        <v>0</v>
      </c>
      <c r="AH23">
        <v>0</v>
      </c>
      <c r="AI23">
        <v>0</v>
      </c>
      <c r="AJ23">
        <v>0</v>
      </c>
      <c r="AK23">
        <v>0</v>
      </c>
      <c r="AL23">
        <v>0</v>
      </c>
      <c r="AM23">
        <v>1</v>
      </c>
      <c r="AN23">
        <v>0</v>
      </c>
      <c r="AO23">
        <v>0</v>
      </c>
      <c r="AP23">
        <v>0</v>
      </c>
      <c r="AQ23" t="s">
        <v>35</v>
      </c>
      <c r="AR23">
        <v>45</v>
      </c>
      <c r="AS23">
        <v>218</v>
      </c>
      <c r="AT23">
        <v>274</v>
      </c>
      <c r="AU23">
        <v>0.20437956204379559</v>
      </c>
      <c r="AV23" s="2">
        <v>44612</v>
      </c>
      <c r="AW23">
        <v>5.3571428571428548E-2</v>
      </c>
      <c r="AX23" t="s">
        <v>61</v>
      </c>
      <c r="AY23">
        <v>3.9999999999999987E-2</v>
      </c>
      <c r="AZ23">
        <v>5.7251908396946792E-2</v>
      </c>
      <c r="BA23" t="s">
        <v>69</v>
      </c>
      <c r="BB23" t="s">
        <v>69</v>
      </c>
      <c r="BC23">
        <v>1</v>
      </c>
      <c r="BD23">
        <v>0</v>
      </c>
      <c r="BE23" t="s">
        <v>62</v>
      </c>
      <c r="BF23" t="s">
        <v>62</v>
      </c>
      <c r="BG23" t="s">
        <v>69</v>
      </c>
      <c r="BH23">
        <v>1</v>
      </c>
    </row>
    <row r="24" spans="1:60" x14ac:dyDescent="0.2">
      <c r="A24" t="s">
        <v>35</v>
      </c>
      <c r="B24">
        <v>10827</v>
      </c>
      <c r="C24" s="2">
        <v>44794</v>
      </c>
      <c r="D24" t="s">
        <v>63</v>
      </c>
      <c r="E24">
        <v>2022</v>
      </c>
      <c r="F24">
        <v>8</v>
      </c>
      <c r="G24">
        <v>3</v>
      </c>
      <c r="H24" t="s">
        <v>73</v>
      </c>
      <c r="I24">
        <v>0.39</v>
      </c>
      <c r="J24" t="s">
        <v>74</v>
      </c>
      <c r="K24" t="s">
        <v>103</v>
      </c>
      <c r="L24" s="6">
        <v>1</v>
      </c>
      <c r="M24" s="4">
        <v>1</v>
      </c>
      <c r="N24" s="4">
        <f t="shared" si="0"/>
        <v>0</v>
      </c>
      <c r="O24">
        <v>1</v>
      </c>
      <c r="P24">
        <v>1</v>
      </c>
      <c r="Q24">
        <v>1</v>
      </c>
      <c r="R24">
        <v>18</v>
      </c>
      <c r="S24">
        <v>0.65339648699999997</v>
      </c>
      <c r="T24">
        <v>18</v>
      </c>
      <c r="U24">
        <v>0</v>
      </c>
      <c r="V24">
        <v>0</v>
      </c>
      <c r="W24">
        <v>0</v>
      </c>
      <c r="X24">
        <v>0</v>
      </c>
      <c r="Y24">
        <v>0</v>
      </c>
      <c r="Z24">
        <v>0</v>
      </c>
      <c r="AA24">
        <v>0</v>
      </c>
      <c r="AB24">
        <v>0</v>
      </c>
      <c r="AC24">
        <v>0</v>
      </c>
      <c r="AD24">
        <v>0</v>
      </c>
      <c r="AE24">
        <v>0</v>
      </c>
      <c r="AF24">
        <v>0</v>
      </c>
      <c r="AG24">
        <v>0</v>
      </c>
      <c r="AH24">
        <v>0</v>
      </c>
      <c r="AI24">
        <v>0</v>
      </c>
      <c r="AJ24">
        <v>0</v>
      </c>
      <c r="AK24">
        <v>0</v>
      </c>
      <c r="AL24">
        <v>0</v>
      </c>
      <c r="AM24">
        <v>1</v>
      </c>
      <c r="AN24">
        <v>0</v>
      </c>
      <c r="AO24">
        <v>0</v>
      </c>
      <c r="AP24">
        <v>0</v>
      </c>
      <c r="AQ24" t="s">
        <v>35</v>
      </c>
      <c r="AR24">
        <v>32</v>
      </c>
      <c r="AS24">
        <v>42</v>
      </c>
      <c r="AT24">
        <v>274</v>
      </c>
      <c r="AU24">
        <v>0.84671532846715325</v>
      </c>
      <c r="AV24" s="2">
        <v>44794</v>
      </c>
      <c r="AW24">
        <v>5.3830227743271238E-2</v>
      </c>
      <c r="AX24" t="s">
        <v>61</v>
      </c>
      <c r="AY24">
        <v>0.10606060606060611</v>
      </c>
      <c r="AZ24">
        <v>5.7251908396946792E-2</v>
      </c>
      <c r="BA24" t="s">
        <v>69</v>
      </c>
      <c r="BB24" t="s">
        <v>69</v>
      </c>
      <c r="BC24">
        <v>1</v>
      </c>
      <c r="BD24">
        <v>0</v>
      </c>
      <c r="BE24" t="s">
        <v>66</v>
      </c>
      <c r="BF24" t="s">
        <v>66</v>
      </c>
      <c r="BG24" t="s">
        <v>69</v>
      </c>
      <c r="BH24">
        <v>1</v>
      </c>
    </row>
    <row r="25" spans="1:60" x14ac:dyDescent="0.2">
      <c r="A25" t="s">
        <v>35</v>
      </c>
      <c r="B25">
        <v>5073</v>
      </c>
      <c r="C25" s="2">
        <v>44941</v>
      </c>
      <c r="D25" t="s">
        <v>104</v>
      </c>
      <c r="E25">
        <v>2023</v>
      </c>
      <c r="F25">
        <v>1</v>
      </c>
      <c r="G25">
        <v>1</v>
      </c>
      <c r="H25" t="s">
        <v>79</v>
      </c>
      <c r="I25">
        <v>0.3</v>
      </c>
      <c r="J25" t="s">
        <v>69</v>
      </c>
      <c r="K25" t="s">
        <v>105</v>
      </c>
      <c r="L25" s="6">
        <v>0</v>
      </c>
      <c r="M25" s="4">
        <v>0</v>
      </c>
      <c r="N25" s="4">
        <f t="shared" si="0"/>
        <v>0</v>
      </c>
      <c r="O25">
        <v>1</v>
      </c>
      <c r="P25">
        <v>1</v>
      </c>
      <c r="Q25">
        <v>1</v>
      </c>
      <c r="R25">
        <v>18</v>
      </c>
      <c r="S25">
        <v>0.99892288399999996</v>
      </c>
      <c r="T25">
        <v>18</v>
      </c>
      <c r="U25">
        <v>0</v>
      </c>
      <c r="V25">
        <v>0</v>
      </c>
      <c r="W25">
        <v>0</v>
      </c>
      <c r="X25">
        <v>0</v>
      </c>
      <c r="Y25">
        <v>0</v>
      </c>
      <c r="Z25">
        <v>0</v>
      </c>
      <c r="AA25">
        <v>0</v>
      </c>
      <c r="AB25">
        <v>0</v>
      </c>
      <c r="AC25">
        <v>0</v>
      </c>
      <c r="AD25">
        <v>0</v>
      </c>
      <c r="AE25">
        <v>0</v>
      </c>
      <c r="AF25">
        <v>0</v>
      </c>
      <c r="AG25">
        <v>0</v>
      </c>
      <c r="AH25">
        <v>0</v>
      </c>
      <c r="AI25">
        <v>0</v>
      </c>
      <c r="AJ25">
        <v>0</v>
      </c>
      <c r="AK25">
        <v>0</v>
      </c>
      <c r="AL25">
        <v>0</v>
      </c>
      <c r="AM25">
        <v>1</v>
      </c>
      <c r="AN25">
        <v>0</v>
      </c>
      <c r="AO25">
        <v>0</v>
      </c>
      <c r="AP25">
        <v>0</v>
      </c>
      <c r="AQ25" t="s">
        <v>35</v>
      </c>
      <c r="AR25">
        <v>38</v>
      </c>
      <c r="AT25" t="s">
        <v>106</v>
      </c>
      <c r="AV25" s="2">
        <v>44941</v>
      </c>
      <c r="AW25">
        <v>1.111111111111112E-2</v>
      </c>
      <c r="AX25" t="s">
        <v>61</v>
      </c>
      <c r="AY25">
        <v>1.8518518518518538E-2</v>
      </c>
      <c r="AZ25">
        <v>1.714285714285704E-2</v>
      </c>
      <c r="BA25" t="s">
        <v>69</v>
      </c>
      <c r="BB25" t="s">
        <v>69</v>
      </c>
      <c r="BC25">
        <v>1</v>
      </c>
      <c r="BD25">
        <v>0</v>
      </c>
      <c r="BE25" t="s">
        <v>62</v>
      </c>
      <c r="BF25" t="s">
        <v>62</v>
      </c>
      <c r="BG25" t="s">
        <v>69</v>
      </c>
      <c r="BH25">
        <v>1</v>
      </c>
    </row>
    <row r="26" spans="1:60" x14ac:dyDescent="0.2">
      <c r="A26" t="s">
        <v>35</v>
      </c>
      <c r="B26">
        <v>233</v>
      </c>
      <c r="C26" s="2">
        <v>44834</v>
      </c>
      <c r="D26" t="s">
        <v>67</v>
      </c>
      <c r="E26">
        <v>2022</v>
      </c>
      <c r="F26">
        <v>9</v>
      </c>
      <c r="G26">
        <v>3</v>
      </c>
      <c r="H26" t="s">
        <v>64</v>
      </c>
      <c r="I26">
        <v>0.8</v>
      </c>
      <c r="J26" t="s">
        <v>59</v>
      </c>
      <c r="K26" t="s">
        <v>107</v>
      </c>
      <c r="L26" s="6">
        <v>1</v>
      </c>
      <c r="M26" s="4">
        <v>1</v>
      </c>
      <c r="N26" s="4">
        <f t="shared" si="0"/>
        <v>0</v>
      </c>
      <c r="O26">
        <v>1</v>
      </c>
      <c r="P26">
        <v>1</v>
      </c>
      <c r="Q26">
        <v>1</v>
      </c>
      <c r="R26">
        <v>18</v>
      </c>
      <c r="S26">
        <v>0.99821543700000004</v>
      </c>
      <c r="T26">
        <v>18</v>
      </c>
      <c r="U26">
        <v>0</v>
      </c>
      <c r="V26">
        <v>0</v>
      </c>
      <c r="W26">
        <v>0</v>
      </c>
      <c r="X26">
        <v>0</v>
      </c>
      <c r="Y26">
        <v>0</v>
      </c>
      <c r="Z26">
        <v>0</v>
      </c>
      <c r="AA26">
        <v>0</v>
      </c>
      <c r="AB26">
        <v>0</v>
      </c>
      <c r="AC26">
        <v>0</v>
      </c>
      <c r="AD26">
        <v>0</v>
      </c>
      <c r="AE26">
        <v>0</v>
      </c>
      <c r="AF26">
        <v>0</v>
      </c>
      <c r="AG26">
        <v>0</v>
      </c>
      <c r="AH26">
        <v>0</v>
      </c>
      <c r="AI26">
        <v>0</v>
      </c>
      <c r="AJ26">
        <v>0</v>
      </c>
      <c r="AK26">
        <v>0</v>
      </c>
      <c r="AL26">
        <v>0</v>
      </c>
      <c r="AM26">
        <v>1</v>
      </c>
      <c r="AN26">
        <v>0</v>
      </c>
      <c r="AO26">
        <v>0</v>
      </c>
      <c r="AP26">
        <v>0</v>
      </c>
      <c r="AQ26" t="s">
        <v>35</v>
      </c>
      <c r="AR26">
        <v>51</v>
      </c>
      <c r="AS26">
        <v>2</v>
      </c>
      <c r="AT26">
        <v>274</v>
      </c>
      <c r="AU26">
        <v>0.99270072992700731</v>
      </c>
      <c r="AV26" s="2">
        <v>44829</v>
      </c>
      <c r="AW26">
        <v>5.4187192118226632E-2</v>
      </c>
      <c r="AX26" t="s">
        <v>61</v>
      </c>
      <c r="AY26">
        <v>0.13333333333333339</v>
      </c>
      <c r="AZ26">
        <v>3.1182015953589399E-2</v>
      </c>
      <c r="BA26" t="s">
        <v>59</v>
      </c>
      <c r="BB26" t="s">
        <v>59</v>
      </c>
      <c r="BC26">
        <v>0</v>
      </c>
      <c r="BD26">
        <v>0</v>
      </c>
      <c r="BE26" t="s">
        <v>66</v>
      </c>
      <c r="BF26" t="s">
        <v>66</v>
      </c>
      <c r="BG26" t="s">
        <v>59</v>
      </c>
      <c r="BH26">
        <v>1</v>
      </c>
    </row>
    <row r="27" spans="1:60" x14ac:dyDescent="0.2">
      <c r="A27" t="s">
        <v>35</v>
      </c>
      <c r="B27">
        <v>23977</v>
      </c>
      <c r="C27" s="2">
        <v>44564</v>
      </c>
      <c r="D27" t="s">
        <v>88</v>
      </c>
      <c r="E27">
        <v>2022</v>
      </c>
      <c r="F27">
        <v>1</v>
      </c>
      <c r="G27">
        <v>1</v>
      </c>
      <c r="H27" t="s">
        <v>82</v>
      </c>
      <c r="I27">
        <v>0.05</v>
      </c>
      <c r="J27" t="s">
        <v>69</v>
      </c>
      <c r="K27" t="s">
        <v>108</v>
      </c>
      <c r="L27" s="6">
        <v>1</v>
      </c>
      <c r="M27" s="4">
        <v>1</v>
      </c>
      <c r="N27" s="4">
        <f t="shared" si="0"/>
        <v>0</v>
      </c>
      <c r="O27">
        <v>1</v>
      </c>
      <c r="P27">
        <v>1</v>
      </c>
      <c r="Q27">
        <v>1</v>
      </c>
      <c r="R27">
        <v>18</v>
      </c>
      <c r="S27">
        <v>0.96665346600000002</v>
      </c>
      <c r="T27">
        <v>18</v>
      </c>
      <c r="U27">
        <v>0</v>
      </c>
      <c r="V27">
        <v>0</v>
      </c>
      <c r="W27">
        <v>0</v>
      </c>
      <c r="X27">
        <v>0</v>
      </c>
      <c r="Y27">
        <v>0</v>
      </c>
      <c r="Z27">
        <v>0</v>
      </c>
      <c r="AA27">
        <v>0</v>
      </c>
      <c r="AB27">
        <v>0</v>
      </c>
      <c r="AC27">
        <v>0</v>
      </c>
      <c r="AD27">
        <v>0</v>
      </c>
      <c r="AE27">
        <v>0</v>
      </c>
      <c r="AF27">
        <v>0</v>
      </c>
      <c r="AG27">
        <v>0</v>
      </c>
      <c r="AH27">
        <v>0</v>
      </c>
      <c r="AI27">
        <v>0</v>
      </c>
      <c r="AJ27">
        <v>0</v>
      </c>
      <c r="AK27">
        <v>0</v>
      </c>
      <c r="AL27">
        <v>0</v>
      </c>
      <c r="AM27">
        <v>1</v>
      </c>
      <c r="AN27">
        <v>0</v>
      </c>
      <c r="AO27">
        <v>0</v>
      </c>
      <c r="AP27">
        <v>0</v>
      </c>
      <c r="AQ27" t="s">
        <v>35</v>
      </c>
      <c r="AR27">
        <v>46</v>
      </c>
      <c r="AS27">
        <v>272</v>
      </c>
      <c r="AT27">
        <v>274</v>
      </c>
      <c r="AU27">
        <v>7.2992700729926996E-3</v>
      </c>
      <c r="AV27" s="2">
        <v>44563</v>
      </c>
      <c r="AW27">
        <v>6.0240963855421693E-2</v>
      </c>
      <c r="AX27" t="s">
        <v>61</v>
      </c>
      <c r="AY27">
        <v>0.33333333333333343</v>
      </c>
      <c r="AZ27">
        <v>0.1647727272727274</v>
      </c>
      <c r="BA27" t="s">
        <v>69</v>
      </c>
      <c r="BB27" t="s">
        <v>69</v>
      </c>
      <c r="BC27">
        <v>1</v>
      </c>
      <c r="BD27">
        <v>0</v>
      </c>
      <c r="BE27" t="s">
        <v>62</v>
      </c>
      <c r="BF27" t="s">
        <v>62</v>
      </c>
      <c r="BG27" t="s">
        <v>69</v>
      </c>
      <c r="BH27">
        <v>1</v>
      </c>
    </row>
    <row r="28" spans="1:60" x14ac:dyDescent="0.2">
      <c r="A28" t="s">
        <v>35</v>
      </c>
      <c r="B28">
        <v>23716</v>
      </c>
      <c r="C28" s="2">
        <v>44704</v>
      </c>
      <c r="D28" t="s">
        <v>78</v>
      </c>
      <c r="E28">
        <v>2022</v>
      </c>
      <c r="F28">
        <v>5</v>
      </c>
      <c r="G28">
        <v>2</v>
      </c>
      <c r="H28" t="s">
        <v>82</v>
      </c>
      <c r="I28">
        <v>0.05</v>
      </c>
      <c r="J28" t="s">
        <v>69</v>
      </c>
      <c r="K28" t="s">
        <v>109</v>
      </c>
      <c r="L28" s="6">
        <v>1</v>
      </c>
      <c r="M28" s="4">
        <v>1</v>
      </c>
      <c r="N28" s="4">
        <f t="shared" si="0"/>
        <v>0</v>
      </c>
      <c r="O28">
        <v>1</v>
      </c>
      <c r="P28">
        <v>1</v>
      </c>
      <c r="Q28">
        <v>1</v>
      </c>
      <c r="R28">
        <v>18</v>
      </c>
      <c r="S28">
        <v>0.97580748799999995</v>
      </c>
      <c r="T28">
        <v>18</v>
      </c>
      <c r="U28">
        <v>0</v>
      </c>
      <c r="V28">
        <v>0</v>
      </c>
      <c r="W28">
        <v>0</v>
      </c>
      <c r="X28">
        <v>0</v>
      </c>
      <c r="Y28">
        <v>0</v>
      </c>
      <c r="Z28">
        <v>0</v>
      </c>
      <c r="AA28">
        <v>0</v>
      </c>
      <c r="AB28">
        <v>0</v>
      </c>
      <c r="AC28">
        <v>0</v>
      </c>
      <c r="AD28">
        <v>0</v>
      </c>
      <c r="AE28">
        <v>0</v>
      </c>
      <c r="AF28">
        <v>0</v>
      </c>
      <c r="AG28">
        <v>0</v>
      </c>
      <c r="AH28">
        <v>0</v>
      </c>
      <c r="AI28">
        <v>0</v>
      </c>
      <c r="AJ28">
        <v>0</v>
      </c>
      <c r="AK28">
        <v>0</v>
      </c>
      <c r="AL28">
        <v>0</v>
      </c>
      <c r="AM28">
        <v>1</v>
      </c>
      <c r="AN28">
        <v>0</v>
      </c>
      <c r="AO28">
        <v>0</v>
      </c>
      <c r="AP28">
        <v>0</v>
      </c>
      <c r="AQ28" t="s">
        <v>35</v>
      </c>
      <c r="AR28">
        <v>41</v>
      </c>
      <c r="AS28">
        <v>132</v>
      </c>
      <c r="AT28">
        <v>274</v>
      </c>
      <c r="AU28">
        <v>0.51824817518248179</v>
      </c>
      <c r="AV28" s="2">
        <v>44703</v>
      </c>
      <c r="AW28">
        <v>4.2944785276073517E-2</v>
      </c>
      <c r="AX28" t="s">
        <v>61</v>
      </c>
      <c r="AY28">
        <v>0.2857142857142857</v>
      </c>
      <c r="AZ28">
        <v>0.1647727272727274</v>
      </c>
      <c r="BA28" t="s">
        <v>69</v>
      </c>
      <c r="BB28" t="s">
        <v>69</v>
      </c>
      <c r="BC28">
        <v>1</v>
      </c>
      <c r="BD28">
        <v>0</v>
      </c>
      <c r="BE28" t="s">
        <v>81</v>
      </c>
      <c r="BF28" t="s">
        <v>62</v>
      </c>
      <c r="BG28" t="s">
        <v>69</v>
      </c>
      <c r="BH28">
        <v>1</v>
      </c>
    </row>
    <row r="29" spans="1:60" x14ac:dyDescent="0.2">
      <c r="A29" t="s">
        <v>35</v>
      </c>
      <c r="B29">
        <v>21978</v>
      </c>
      <c r="C29" s="2">
        <v>44649</v>
      </c>
      <c r="D29" t="s">
        <v>71</v>
      </c>
      <c r="E29">
        <v>2022</v>
      </c>
      <c r="F29">
        <v>3</v>
      </c>
      <c r="G29">
        <v>1</v>
      </c>
      <c r="H29" t="s">
        <v>68</v>
      </c>
      <c r="I29">
        <v>0.09</v>
      </c>
      <c r="J29" t="s">
        <v>69</v>
      </c>
      <c r="K29" t="s">
        <v>110</v>
      </c>
      <c r="L29" s="6">
        <v>0</v>
      </c>
      <c r="M29" s="4">
        <v>1</v>
      </c>
      <c r="N29" s="4">
        <f t="shared" si="0"/>
        <v>1</v>
      </c>
      <c r="O29">
        <v>1</v>
      </c>
      <c r="P29">
        <v>1</v>
      </c>
      <c r="Q29">
        <v>1</v>
      </c>
      <c r="R29">
        <v>18</v>
      </c>
      <c r="S29">
        <v>0.99869799599999998</v>
      </c>
      <c r="T29">
        <v>18</v>
      </c>
      <c r="U29">
        <v>0</v>
      </c>
      <c r="V29">
        <v>0</v>
      </c>
      <c r="W29">
        <v>0</v>
      </c>
      <c r="X29">
        <v>0</v>
      </c>
      <c r="Y29">
        <v>0</v>
      </c>
      <c r="Z29">
        <v>0</v>
      </c>
      <c r="AA29">
        <v>0</v>
      </c>
      <c r="AB29">
        <v>0</v>
      </c>
      <c r="AC29">
        <v>0</v>
      </c>
      <c r="AD29">
        <v>0</v>
      </c>
      <c r="AE29">
        <v>0</v>
      </c>
      <c r="AF29">
        <v>0</v>
      </c>
      <c r="AG29">
        <v>0</v>
      </c>
      <c r="AH29">
        <v>0</v>
      </c>
      <c r="AI29">
        <v>0</v>
      </c>
      <c r="AJ29">
        <v>0</v>
      </c>
      <c r="AK29">
        <v>0</v>
      </c>
      <c r="AL29">
        <v>0</v>
      </c>
      <c r="AM29">
        <v>1</v>
      </c>
      <c r="AN29">
        <v>0</v>
      </c>
      <c r="AO29">
        <v>0</v>
      </c>
      <c r="AP29">
        <v>0</v>
      </c>
      <c r="AQ29" t="s">
        <v>35</v>
      </c>
      <c r="AR29">
        <v>41</v>
      </c>
      <c r="AS29">
        <v>187</v>
      </c>
      <c r="AT29">
        <v>274</v>
      </c>
      <c r="AU29">
        <v>0.31751824817518248</v>
      </c>
      <c r="AV29" s="2">
        <v>44647</v>
      </c>
      <c r="AW29">
        <v>7.272727272727271E-2</v>
      </c>
      <c r="AX29" t="s">
        <v>61</v>
      </c>
      <c r="AY29">
        <v>3.5714285714285733E-2</v>
      </c>
      <c r="AZ29">
        <v>3.7735849056603571E-2</v>
      </c>
      <c r="BA29" t="s">
        <v>69</v>
      </c>
      <c r="BB29" t="s">
        <v>69</v>
      </c>
      <c r="BC29">
        <v>1</v>
      </c>
      <c r="BD29">
        <v>0</v>
      </c>
      <c r="BE29" t="s">
        <v>62</v>
      </c>
      <c r="BF29" t="s">
        <v>62</v>
      </c>
      <c r="BG29" t="s">
        <v>69</v>
      </c>
      <c r="BH29">
        <v>1</v>
      </c>
    </row>
    <row r="30" spans="1:60" x14ac:dyDescent="0.2">
      <c r="A30" t="s">
        <v>35</v>
      </c>
      <c r="B30">
        <v>19653</v>
      </c>
      <c r="C30" s="2">
        <v>44650</v>
      </c>
      <c r="D30" t="s">
        <v>71</v>
      </c>
      <c r="E30">
        <v>2022</v>
      </c>
      <c r="F30">
        <v>3</v>
      </c>
      <c r="G30">
        <v>1</v>
      </c>
      <c r="H30" t="s">
        <v>58</v>
      </c>
      <c r="I30">
        <v>0.81</v>
      </c>
      <c r="J30" t="s">
        <v>59</v>
      </c>
      <c r="K30" t="s">
        <v>111</v>
      </c>
      <c r="L30" s="6">
        <v>1</v>
      </c>
      <c r="M30" s="4">
        <v>1</v>
      </c>
      <c r="N30" s="4">
        <f t="shared" si="0"/>
        <v>0</v>
      </c>
      <c r="O30">
        <v>1</v>
      </c>
      <c r="P30">
        <v>1</v>
      </c>
      <c r="Q30">
        <v>1</v>
      </c>
      <c r="R30">
        <v>18</v>
      </c>
      <c r="S30">
        <v>0.99900227799999997</v>
      </c>
      <c r="T30">
        <v>18</v>
      </c>
      <c r="U30">
        <v>0</v>
      </c>
      <c r="V30">
        <v>0</v>
      </c>
      <c r="W30">
        <v>0</v>
      </c>
      <c r="X30">
        <v>0</v>
      </c>
      <c r="Y30">
        <v>0</v>
      </c>
      <c r="Z30">
        <v>0</v>
      </c>
      <c r="AA30">
        <v>0</v>
      </c>
      <c r="AB30">
        <v>0</v>
      </c>
      <c r="AC30">
        <v>0</v>
      </c>
      <c r="AD30">
        <v>0</v>
      </c>
      <c r="AE30">
        <v>0</v>
      </c>
      <c r="AF30">
        <v>0</v>
      </c>
      <c r="AG30">
        <v>0</v>
      </c>
      <c r="AH30">
        <v>0</v>
      </c>
      <c r="AI30">
        <v>0</v>
      </c>
      <c r="AJ30">
        <v>0</v>
      </c>
      <c r="AK30">
        <v>0</v>
      </c>
      <c r="AL30">
        <v>0</v>
      </c>
      <c r="AM30">
        <v>1</v>
      </c>
      <c r="AN30">
        <v>0</v>
      </c>
      <c r="AO30">
        <v>0</v>
      </c>
      <c r="AP30">
        <v>0</v>
      </c>
      <c r="AQ30" t="s">
        <v>35</v>
      </c>
      <c r="AR30">
        <v>42</v>
      </c>
      <c r="AS30">
        <v>186</v>
      </c>
      <c r="AT30">
        <v>274</v>
      </c>
      <c r="AU30">
        <v>0.32116788321167877</v>
      </c>
      <c r="AV30" s="2">
        <v>44647</v>
      </c>
      <c r="AW30">
        <v>7.272727272727271E-2</v>
      </c>
      <c r="AX30" t="s">
        <v>61</v>
      </c>
      <c r="AY30">
        <v>0.17857142857142849</v>
      </c>
      <c r="AZ30">
        <v>8.8262910798122124E-2</v>
      </c>
      <c r="BA30" t="s">
        <v>59</v>
      </c>
      <c r="BB30" t="s">
        <v>59</v>
      </c>
      <c r="BC30">
        <v>0</v>
      </c>
      <c r="BD30">
        <v>0</v>
      </c>
      <c r="BE30" t="s">
        <v>62</v>
      </c>
      <c r="BF30" t="s">
        <v>62</v>
      </c>
      <c r="BG30" t="s">
        <v>59</v>
      </c>
      <c r="BH30">
        <v>1</v>
      </c>
    </row>
    <row r="31" spans="1:60" x14ac:dyDescent="0.2">
      <c r="A31" t="s">
        <v>35</v>
      </c>
      <c r="B31">
        <v>10987</v>
      </c>
      <c r="C31" s="2">
        <v>44772</v>
      </c>
      <c r="D31" t="s">
        <v>90</v>
      </c>
      <c r="E31">
        <v>2022</v>
      </c>
      <c r="F31">
        <v>7</v>
      </c>
      <c r="G31">
        <v>3</v>
      </c>
      <c r="H31" t="s">
        <v>73</v>
      </c>
      <c r="I31">
        <v>0.39</v>
      </c>
      <c r="J31" t="s">
        <v>74</v>
      </c>
      <c r="K31" t="s">
        <v>112</v>
      </c>
      <c r="L31" s="6">
        <v>1</v>
      </c>
      <c r="M31" s="4">
        <v>1</v>
      </c>
      <c r="N31" s="4">
        <f t="shared" si="0"/>
        <v>0</v>
      </c>
      <c r="O31">
        <v>1</v>
      </c>
      <c r="P31">
        <v>1</v>
      </c>
      <c r="Q31">
        <v>1</v>
      </c>
      <c r="R31">
        <v>18</v>
      </c>
      <c r="S31">
        <v>0.97782933699999997</v>
      </c>
      <c r="T31">
        <v>18</v>
      </c>
      <c r="U31">
        <v>0</v>
      </c>
      <c r="V31">
        <v>0</v>
      </c>
      <c r="W31">
        <v>0</v>
      </c>
      <c r="X31">
        <v>0</v>
      </c>
      <c r="Y31">
        <v>0</v>
      </c>
      <c r="Z31">
        <v>0</v>
      </c>
      <c r="AA31">
        <v>0</v>
      </c>
      <c r="AB31">
        <v>0</v>
      </c>
      <c r="AC31">
        <v>0</v>
      </c>
      <c r="AD31">
        <v>0</v>
      </c>
      <c r="AE31">
        <v>0</v>
      </c>
      <c r="AF31">
        <v>0</v>
      </c>
      <c r="AG31">
        <v>0</v>
      </c>
      <c r="AH31">
        <v>0</v>
      </c>
      <c r="AI31">
        <v>0</v>
      </c>
      <c r="AJ31">
        <v>0</v>
      </c>
      <c r="AK31">
        <v>0</v>
      </c>
      <c r="AL31">
        <v>0</v>
      </c>
      <c r="AM31">
        <v>1</v>
      </c>
      <c r="AN31">
        <v>0</v>
      </c>
      <c r="AO31">
        <v>0</v>
      </c>
      <c r="AP31">
        <v>0</v>
      </c>
      <c r="AQ31" t="s">
        <v>35</v>
      </c>
      <c r="AR31">
        <v>42</v>
      </c>
      <c r="AS31">
        <v>64</v>
      </c>
      <c r="AT31">
        <v>274</v>
      </c>
      <c r="AU31">
        <v>0.76642335766423353</v>
      </c>
      <c r="AV31" s="2">
        <v>44766</v>
      </c>
      <c r="AW31">
        <v>4.9275362318840561E-2</v>
      </c>
      <c r="AX31" t="s">
        <v>61</v>
      </c>
      <c r="AY31">
        <v>8.4507042253521195E-2</v>
      </c>
      <c r="AZ31">
        <v>5.7251908396946792E-2</v>
      </c>
      <c r="BA31" t="s">
        <v>69</v>
      </c>
      <c r="BB31" t="s">
        <v>69</v>
      </c>
      <c r="BC31">
        <v>1</v>
      </c>
      <c r="BD31">
        <v>0</v>
      </c>
      <c r="BE31" t="s">
        <v>81</v>
      </c>
      <c r="BF31" t="s">
        <v>62</v>
      </c>
      <c r="BG31" t="s">
        <v>69</v>
      </c>
      <c r="BH31">
        <v>1</v>
      </c>
    </row>
    <row r="32" spans="1:60" x14ac:dyDescent="0.2">
      <c r="A32" t="s">
        <v>35</v>
      </c>
      <c r="B32">
        <v>11112</v>
      </c>
      <c r="C32" s="2">
        <v>44749</v>
      </c>
      <c r="D32" t="s">
        <v>90</v>
      </c>
      <c r="E32">
        <v>2022</v>
      </c>
      <c r="F32">
        <v>7</v>
      </c>
      <c r="G32">
        <v>3</v>
      </c>
      <c r="H32" t="s">
        <v>73</v>
      </c>
      <c r="I32">
        <v>0.39</v>
      </c>
      <c r="J32" t="s">
        <v>74</v>
      </c>
      <c r="K32" t="s">
        <v>113</v>
      </c>
      <c r="L32" s="6">
        <v>1</v>
      </c>
      <c r="M32" s="4">
        <v>1</v>
      </c>
      <c r="N32" s="4">
        <f t="shared" si="0"/>
        <v>0</v>
      </c>
      <c r="O32">
        <v>1</v>
      </c>
      <c r="P32">
        <v>1</v>
      </c>
      <c r="Q32">
        <v>1</v>
      </c>
      <c r="R32">
        <v>18</v>
      </c>
      <c r="S32">
        <v>0.99628216000000003</v>
      </c>
      <c r="T32">
        <v>18</v>
      </c>
      <c r="U32">
        <v>0</v>
      </c>
      <c r="V32">
        <v>0</v>
      </c>
      <c r="W32">
        <v>0</v>
      </c>
      <c r="X32">
        <v>0</v>
      </c>
      <c r="Y32">
        <v>0</v>
      </c>
      <c r="Z32">
        <v>0</v>
      </c>
      <c r="AA32">
        <v>0</v>
      </c>
      <c r="AB32">
        <v>0</v>
      </c>
      <c r="AC32">
        <v>0</v>
      </c>
      <c r="AD32">
        <v>0</v>
      </c>
      <c r="AE32">
        <v>0</v>
      </c>
      <c r="AF32">
        <v>0</v>
      </c>
      <c r="AG32">
        <v>0</v>
      </c>
      <c r="AH32">
        <v>0</v>
      </c>
      <c r="AI32">
        <v>0</v>
      </c>
      <c r="AJ32">
        <v>0</v>
      </c>
      <c r="AK32">
        <v>0</v>
      </c>
      <c r="AL32">
        <v>0</v>
      </c>
      <c r="AM32">
        <v>1</v>
      </c>
      <c r="AN32">
        <v>0</v>
      </c>
      <c r="AO32">
        <v>0</v>
      </c>
      <c r="AP32">
        <v>0</v>
      </c>
      <c r="AQ32" t="s">
        <v>35</v>
      </c>
      <c r="AR32">
        <v>51</v>
      </c>
      <c r="AS32">
        <v>87</v>
      </c>
      <c r="AT32">
        <v>274</v>
      </c>
      <c r="AU32">
        <v>0.68248175182481752</v>
      </c>
      <c r="AV32" s="2">
        <v>44745</v>
      </c>
      <c r="AW32">
        <v>5.2863436123348047E-2</v>
      </c>
      <c r="AX32" t="s">
        <v>61</v>
      </c>
      <c r="AY32">
        <v>6.7796610169491511E-2</v>
      </c>
      <c r="AZ32">
        <v>5.7251908396946792E-2</v>
      </c>
      <c r="BA32" t="s">
        <v>69</v>
      </c>
      <c r="BB32" t="s">
        <v>69</v>
      </c>
      <c r="BC32">
        <v>1</v>
      </c>
      <c r="BD32">
        <v>0</v>
      </c>
      <c r="BE32" t="s">
        <v>81</v>
      </c>
      <c r="BF32" t="s">
        <v>62</v>
      </c>
      <c r="BG32" t="s">
        <v>69</v>
      </c>
      <c r="BH32">
        <v>1</v>
      </c>
    </row>
    <row r="33" spans="1:60" x14ac:dyDescent="0.2">
      <c r="A33" t="s">
        <v>35</v>
      </c>
      <c r="B33">
        <v>23950</v>
      </c>
      <c r="C33" s="2">
        <v>44583</v>
      </c>
      <c r="D33" t="s">
        <v>88</v>
      </c>
      <c r="E33">
        <v>2022</v>
      </c>
      <c r="F33">
        <v>1</v>
      </c>
      <c r="G33">
        <v>1</v>
      </c>
      <c r="H33" t="s">
        <v>82</v>
      </c>
      <c r="I33">
        <v>0.05</v>
      </c>
      <c r="J33" t="s">
        <v>69</v>
      </c>
      <c r="K33" t="s">
        <v>114</v>
      </c>
      <c r="L33" s="6">
        <v>1</v>
      </c>
      <c r="M33" s="4">
        <v>1</v>
      </c>
      <c r="N33" s="4">
        <f t="shared" si="0"/>
        <v>0</v>
      </c>
      <c r="O33">
        <v>1</v>
      </c>
      <c r="P33">
        <v>1</v>
      </c>
      <c r="Q33">
        <v>1</v>
      </c>
      <c r="R33">
        <v>18</v>
      </c>
      <c r="S33">
        <v>0.97176826000000005</v>
      </c>
      <c r="T33">
        <v>18</v>
      </c>
      <c r="U33">
        <v>0</v>
      </c>
      <c r="V33">
        <v>0</v>
      </c>
      <c r="W33">
        <v>0</v>
      </c>
      <c r="X33">
        <v>0</v>
      </c>
      <c r="Y33">
        <v>0</v>
      </c>
      <c r="Z33">
        <v>0</v>
      </c>
      <c r="AA33">
        <v>0</v>
      </c>
      <c r="AB33">
        <v>0</v>
      </c>
      <c r="AC33">
        <v>0</v>
      </c>
      <c r="AD33">
        <v>0</v>
      </c>
      <c r="AE33">
        <v>0</v>
      </c>
      <c r="AF33">
        <v>0</v>
      </c>
      <c r="AG33">
        <v>0</v>
      </c>
      <c r="AH33">
        <v>0</v>
      </c>
      <c r="AI33">
        <v>0</v>
      </c>
      <c r="AJ33">
        <v>0</v>
      </c>
      <c r="AK33">
        <v>0</v>
      </c>
      <c r="AL33">
        <v>0</v>
      </c>
      <c r="AM33">
        <v>1</v>
      </c>
      <c r="AN33">
        <v>0</v>
      </c>
      <c r="AO33">
        <v>0</v>
      </c>
      <c r="AP33">
        <v>0</v>
      </c>
      <c r="AQ33" t="s">
        <v>35</v>
      </c>
      <c r="AR33">
        <v>32</v>
      </c>
      <c r="AS33">
        <v>253</v>
      </c>
      <c r="AT33">
        <v>274</v>
      </c>
      <c r="AU33">
        <v>7.6642335766423361E-2</v>
      </c>
      <c r="AV33" s="2">
        <v>44577</v>
      </c>
      <c r="AW33">
        <v>2.0134228187919469E-2</v>
      </c>
      <c r="AX33" t="s">
        <v>61</v>
      </c>
      <c r="AY33">
        <v>0.16666666666666671</v>
      </c>
      <c r="AZ33">
        <v>0.1647727272727274</v>
      </c>
      <c r="BA33" t="s">
        <v>69</v>
      </c>
      <c r="BB33" t="s">
        <v>69</v>
      </c>
      <c r="BC33">
        <v>1</v>
      </c>
      <c r="BD33">
        <v>0</v>
      </c>
      <c r="BE33" t="s">
        <v>62</v>
      </c>
      <c r="BF33" t="s">
        <v>62</v>
      </c>
      <c r="BG33" t="s">
        <v>69</v>
      </c>
      <c r="BH33">
        <v>1</v>
      </c>
    </row>
    <row r="34" spans="1:60" x14ac:dyDescent="0.2">
      <c r="A34" t="s">
        <v>35</v>
      </c>
      <c r="B34">
        <v>16032</v>
      </c>
      <c r="C34" s="2">
        <v>44843</v>
      </c>
      <c r="D34" t="s">
        <v>100</v>
      </c>
      <c r="E34">
        <v>2022</v>
      </c>
      <c r="F34">
        <v>10</v>
      </c>
      <c r="G34">
        <v>4</v>
      </c>
      <c r="H34" t="s">
        <v>115</v>
      </c>
      <c r="I34">
        <v>0.13</v>
      </c>
      <c r="J34" t="s">
        <v>69</v>
      </c>
      <c r="K34" t="s">
        <v>116</v>
      </c>
      <c r="L34" s="6">
        <v>1</v>
      </c>
      <c r="M34" s="4">
        <v>1</v>
      </c>
      <c r="N34" s="4">
        <f t="shared" si="0"/>
        <v>0</v>
      </c>
      <c r="O34">
        <v>1</v>
      </c>
      <c r="P34">
        <v>1</v>
      </c>
      <c r="Q34">
        <v>1</v>
      </c>
      <c r="R34">
        <v>18</v>
      </c>
      <c r="S34">
        <v>0.87133717499999996</v>
      </c>
      <c r="T34">
        <v>18</v>
      </c>
      <c r="U34">
        <v>0</v>
      </c>
      <c r="V34">
        <v>0</v>
      </c>
      <c r="W34">
        <v>0</v>
      </c>
      <c r="X34">
        <v>0</v>
      </c>
      <c r="Y34">
        <v>0</v>
      </c>
      <c r="Z34">
        <v>0</v>
      </c>
      <c r="AA34">
        <v>0</v>
      </c>
      <c r="AB34">
        <v>0</v>
      </c>
      <c r="AC34">
        <v>0</v>
      </c>
      <c r="AD34">
        <v>0</v>
      </c>
      <c r="AE34">
        <v>0</v>
      </c>
      <c r="AF34">
        <v>0</v>
      </c>
      <c r="AG34">
        <v>0</v>
      </c>
      <c r="AH34">
        <v>0</v>
      </c>
      <c r="AI34">
        <v>0</v>
      </c>
      <c r="AJ34">
        <v>0</v>
      </c>
      <c r="AK34">
        <v>0</v>
      </c>
      <c r="AL34">
        <v>0</v>
      </c>
      <c r="AM34">
        <v>1</v>
      </c>
      <c r="AN34">
        <v>0</v>
      </c>
      <c r="AO34">
        <v>0</v>
      </c>
      <c r="AP34">
        <v>0</v>
      </c>
      <c r="AQ34" t="s">
        <v>35</v>
      </c>
      <c r="AR34">
        <v>34</v>
      </c>
      <c r="AT34">
        <v>274</v>
      </c>
      <c r="AV34" s="2">
        <v>44843</v>
      </c>
      <c r="AW34">
        <v>1.7301038062283711E-2</v>
      </c>
      <c r="AX34" t="s">
        <v>61</v>
      </c>
      <c r="AY34">
        <v>0.10344827586206901</v>
      </c>
      <c r="AZ34">
        <v>8.1967213114754106E-2</v>
      </c>
      <c r="BA34" t="s">
        <v>69</v>
      </c>
      <c r="BB34" t="s">
        <v>69</v>
      </c>
      <c r="BC34">
        <v>1</v>
      </c>
      <c r="BD34">
        <v>0</v>
      </c>
      <c r="BE34" t="s">
        <v>66</v>
      </c>
      <c r="BF34" t="s">
        <v>66</v>
      </c>
      <c r="BG34" t="s">
        <v>69</v>
      </c>
      <c r="BH34">
        <v>1</v>
      </c>
    </row>
    <row r="35" spans="1:60" x14ac:dyDescent="0.2">
      <c r="A35" t="s">
        <v>35</v>
      </c>
      <c r="B35">
        <v>18932</v>
      </c>
      <c r="C35" s="2">
        <v>44911</v>
      </c>
      <c r="D35" t="s">
        <v>76</v>
      </c>
      <c r="E35">
        <v>2022</v>
      </c>
      <c r="F35">
        <v>12</v>
      </c>
      <c r="G35">
        <v>4</v>
      </c>
      <c r="H35" t="s">
        <v>58</v>
      </c>
      <c r="I35">
        <v>0.81</v>
      </c>
      <c r="J35" t="s">
        <v>59</v>
      </c>
      <c r="K35" t="s">
        <v>117</v>
      </c>
      <c r="L35" s="6">
        <v>1</v>
      </c>
      <c r="M35" s="4">
        <v>1</v>
      </c>
      <c r="N35" s="4">
        <f t="shared" si="0"/>
        <v>0</v>
      </c>
      <c r="O35">
        <v>1</v>
      </c>
      <c r="P35">
        <v>1</v>
      </c>
      <c r="Q35">
        <v>1</v>
      </c>
      <c r="R35">
        <v>18</v>
      </c>
      <c r="S35">
        <v>0.99877733000000002</v>
      </c>
      <c r="T35">
        <v>18</v>
      </c>
      <c r="U35">
        <v>0</v>
      </c>
      <c r="V35">
        <v>0</v>
      </c>
      <c r="W35">
        <v>0</v>
      </c>
      <c r="X35">
        <v>0</v>
      </c>
      <c r="Y35">
        <v>0</v>
      </c>
      <c r="Z35">
        <v>0</v>
      </c>
      <c r="AA35">
        <v>0</v>
      </c>
      <c r="AB35">
        <v>0</v>
      </c>
      <c r="AC35">
        <v>0</v>
      </c>
      <c r="AD35">
        <v>0</v>
      </c>
      <c r="AE35">
        <v>0</v>
      </c>
      <c r="AF35">
        <v>0</v>
      </c>
      <c r="AG35">
        <v>0</v>
      </c>
      <c r="AH35">
        <v>0</v>
      </c>
      <c r="AI35">
        <v>0</v>
      </c>
      <c r="AJ35">
        <v>0</v>
      </c>
      <c r="AK35">
        <v>0</v>
      </c>
      <c r="AL35">
        <v>0</v>
      </c>
      <c r="AM35">
        <v>1</v>
      </c>
      <c r="AN35">
        <v>0</v>
      </c>
      <c r="AO35">
        <v>0</v>
      </c>
      <c r="AP35">
        <v>0</v>
      </c>
      <c r="AQ35" t="s">
        <v>35</v>
      </c>
      <c r="AR35">
        <v>44</v>
      </c>
      <c r="AT35">
        <v>274</v>
      </c>
      <c r="AV35" s="2">
        <v>44906</v>
      </c>
      <c r="AW35">
        <v>5.7471264367816063E-2</v>
      </c>
      <c r="AX35" t="s">
        <v>61</v>
      </c>
      <c r="AY35">
        <v>0.25</v>
      </c>
      <c r="AZ35">
        <v>8.8262910798122124E-2</v>
      </c>
      <c r="BA35" t="s">
        <v>59</v>
      </c>
      <c r="BB35" t="s">
        <v>59</v>
      </c>
      <c r="BC35">
        <v>0</v>
      </c>
      <c r="BD35">
        <v>0</v>
      </c>
      <c r="BE35" t="s">
        <v>62</v>
      </c>
      <c r="BF35" t="s">
        <v>62</v>
      </c>
      <c r="BG35" t="s">
        <v>59</v>
      </c>
      <c r="BH35">
        <v>1</v>
      </c>
    </row>
    <row r="36" spans="1:60" x14ac:dyDescent="0.2">
      <c r="A36" t="s">
        <v>35</v>
      </c>
      <c r="B36">
        <v>10918</v>
      </c>
      <c r="C36" s="2">
        <v>44783</v>
      </c>
      <c r="D36" t="s">
        <v>63</v>
      </c>
      <c r="E36">
        <v>2022</v>
      </c>
      <c r="F36">
        <v>8</v>
      </c>
      <c r="G36">
        <v>3</v>
      </c>
      <c r="H36" t="s">
        <v>73</v>
      </c>
      <c r="I36">
        <v>0.39</v>
      </c>
      <c r="J36" t="s">
        <v>74</v>
      </c>
      <c r="K36" t="s">
        <v>118</v>
      </c>
      <c r="L36" s="6">
        <v>0</v>
      </c>
      <c r="M36" s="4">
        <v>0</v>
      </c>
      <c r="N36" s="4">
        <f t="shared" si="0"/>
        <v>0</v>
      </c>
      <c r="O36">
        <v>1</v>
      </c>
      <c r="P36">
        <v>1</v>
      </c>
      <c r="Q36">
        <v>1</v>
      </c>
      <c r="R36">
        <v>18</v>
      </c>
      <c r="S36">
        <v>0.978554904</v>
      </c>
      <c r="T36">
        <v>18</v>
      </c>
      <c r="U36">
        <v>0</v>
      </c>
      <c r="V36">
        <v>0</v>
      </c>
      <c r="W36">
        <v>0</v>
      </c>
      <c r="X36">
        <v>0</v>
      </c>
      <c r="Y36">
        <v>0</v>
      </c>
      <c r="Z36">
        <v>0</v>
      </c>
      <c r="AA36">
        <v>0</v>
      </c>
      <c r="AB36">
        <v>0</v>
      </c>
      <c r="AC36">
        <v>0</v>
      </c>
      <c r="AD36">
        <v>0</v>
      </c>
      <c r="AE36">
        <v>0</v>
      </c>
      <c r="AF36">
        <v>0</v>
      </c>
      <c r="AG36">
        <v>0</v>
      </c>
      <c r="AH36">
        <v>0</v>
      </c>
      <c r="AI36">
        <v>0</v>
      </c>
      <c r="AJ36">
        <v>0</v>
      </c>
      <c r="AK36">
        <v>0</v>
      </c>
      <c r="AL36">
        <v>0</v>
      </c>
      <c r="AM36">
        <v>1</v>
      </c>
      <c r="AN36">
        <v>0</v>
      </c>
      <c r="AO36">
        <v>0</v>
      </c>
      <c r="AP36">
        <v>0</v>
      </c>
      <c r="AQ36" t="s">
        <v>35</v>
      </c>
      <c r="AR36">
        <v>50</v>
      </c>
      <c r="AS36">
        <v>53</v>
      </c>
      <c r="AT36">
        <v>274</v>
      </c>
      <c r="AU36">
        <v>0.80656934306569339</v>
      </c>
      <c r="AV36" s="2">
        <v>44780</v>
      </c>
      <c r="AW36">
        <v>3.7037037037037063E-2</v>
      </c>
      <c r="AX36" t="s">
        <v>61</v>
      </c>
      <c r="AY36">
        <v>0.1162790697674419</v>
      </c>
      <c r="AZ36">
        <v>5.7251908396946792E-2</v>
      </c>
      <c r="BA36" t="s">
        <v>69</v>
      </c>
      <c r="BB36" t="s">
        <v>69</v>
      </c>
      <c r="BC36">
        <v>1</v>
      </c>
      <c r="BD36">
        <v>0</v>
      </c>
      <c r="BE36" t="s">
        <v>81</v>
      </c>
      <c r="BF36" t="s">
        <v>62</v>
      </c>
      <c r="BG36" t="s">
        <v>69</v>
      </c>
      <c r="BH36">
        <v>1</v>
      </c>
    </row>
    <row r="37" spans="1:60" x14ac:dyDescent="0.2">
      <c r="A37" t="s">
        <v>35</v>
      </c>
      <c r="B37">
        <v>19308</v>
      </c>
      <c r="C37" s="2">
        <v>44799</v>
      </c>
      <c r="D37" t="s">
        <v>63</v>
      </c>
      <c r="E37">
        <v>2022</v>
      </c>
      <c r="F37">
        <v>8</v>
      </c>
      <c r="G37">
        <v>3</v>
      </c>
      <c r="H37" t="s">
        <v>58</v>
      </c>
      <c r="I37">
        <v>0.81</v>
      </c>
      <c r="J37" t="s">
        <v>59</v>
      </c>
      <c r="K37" t="s">
        <v>119</v>
      </c>
      <c r="L37" s="6">
        <v>1</v>
      </c>
      <c r="M37" s="4">
        <v>1</v>
      </c>
      <c r="N37" s="4">
        <f t="shared" si="0"/>
        <v>0</v>
      </c>
      <c r="O37">
        <v>1</v>
      </c>
      <c r="P37">
        <v>1</v>
      </c>
      <c r="Q37">
        <v>1</v>
      </c>
      <c r="R37">
        <v>18</v>
      </c>
      <c r="S37">
        <v>0.99854052100000001</v>
      </c>
      <c r="T37">
        <v>18</v>
      </c>
      <c r="U37">
        <v>0</v>
      </c>
      <c r="V37">
        <v>0</v>
      </c>
      <c r="W37">
        <v>0</v>
      </c>
      <c r="X37">
        <v>0</v>
      </c>
      <c r="Y37">
        <v>0</v>
      </c>
      <c r="Z37">
        <v>0</v>
      </c>
      <c r="AA37">
        <v>0</v>
      </c>
      <c r="AB37">
        <v>0</v>
      </c>
      <c r="AC37">
        <v>0</v>
      </c>
      <c r="AD37">
        <v>0</v>
      </c>
      <c r="AE37">
        <v>0</v>
      </c>
      <c r="AF37">
        <v>0</v>
      </c>
      <c r="AG37">
        <v>0</v>
      </c>
      <c r="AH37">
        <v>0</v>
      </c>
      <c r="AI37">
        <v>0</v>
      </c>
      <c r="AJ37">
        <v>0</v>
      </c>
      <c r="AK37">
        <v>0</v>
      </c>
      <c r="AL37">
        <v>0</v>
      </c>
      <c r="AM37">
        <v>1</v>
      </c>
      <c r="AN37">
        <v>0</v>
      </c>
      <c r="AO37">
        <v>0</v>
      </c>
      <c r="AP37">
        <v>0</v>
      </c>
      <c r="AQ37" t="s">
        <v>35</v>
      </c>
      <c r="AR37">
        <v>43</v>
      </c>
      <c r="AS37">
        <v>37</v>
      </c>
      <c r="AT37">
        <v>274</v>
      </c>
      <c r="AU37">
        <v>0.86496350364963503</v>
      </c>
      <c r="AV37" s="2">
        <v>44794</v>
      </c>
      <c r="AW37">
        <v>5.3830227743271238E-2</v>
      </c>
      <c r="AX37" t="s">
        <v>61</v>
      </c>
      <c r="AY37">
        <v>0.15094339622641509</v>
      </c>
      <c r="AZ37">
        <v>8.8262910798122124E-2</v>
      </c>
      <c r="BA37" t="s">
        <v>59</v>
      </c>
      <c r="BB37" t="s">
        <v>59</v>
      </c>
      <c r="BC37">
        <v>0</v>
      </c>
      <c r="BD37">
        <v>0</v>
      </c>
      <c r="BE37" t="s">
        <v>66</v>
      </c>
      <c r="BF37" t="s">
        <v>66</v>
      </c>
      <c r="BG37" t="s">
        <v>59</v>
      </c>
      <c r="BH37">
        <v>1</v>
      </c>
    </row>
    <row r="38" spans="1:60" x14ac:dyDescent="0.2">
      <c r="A38" t="s">
        <v>35</v>
      </c>
      <c r="B38">
        <v>5611</v>
      </c>
      <c r="C38" s="2">
        <v>44859</v>
      </c>
      <c r="D38" t="s">
        <v>100</v>
      </c>
      <c r="E38">
        <v>2022</v>
      </c>
      <c r="F38">
        <v>10</v>
      </c>
      <c r="G38">
        <v>4</v>
      </c>
      <c r="H38" t="s">
        <v>79</v>
      </c>
      <c r="I38">
        <v>0.3</v>
      </c>
      <c r="J38" t="s">
        <v>69</v>
      </c>
      <c r="K38" t="s">
        <v>120</v>
      </c>
      <c r="L38" s="6">
        <v>1</v>
      </c>
      <c r="M38" s="4">
        <v>1</v>
      </c>
      <c r="N38" s="4">
        <f t="shared" si="0"/>
        <v>0</v>
      </c>
      <c r="O38">
        <v>1</v>
      </c>
      <c r="P38">
        <v>1</v>
      </c>
      <c r="Q38">
        <v>1</v>
      </c>
      <c r="R38">
        <v>18</v>
      </c>
      <c r="S38">
        <v>0.99715876599999997</v>
      </c>
      <c r="T38">
        <v>18</v>
      </c>
      <c r="U38">
        <v>0</v>
      </c>
      <c r="V38">
        <v>0</v>
      </c>
      <c r="W38">
        <v>0</v>
      </c>
      <c r="X38">
        <v>0</v>
      </c>
      <c r="Y38">
        <v>0</v>
      </c>
      <c r="Z38">
        <v>0</v>
      </c>
      <c r="AA38">
        <v>0</v>
      </c>
      <c r="AB38">
        <v>0</v>
      </c>
      <c r="AC38">
        <v>0</v>
      </c>
      <c r="AD38">
        <v>0</v>
      </c>
      <c r="AE38">
        <v>0</v>
      </c>
      <c r="AF38">
        <v>0</v>
      </c>
      <c r="AG38">
        <v>0</v>
      </c>
      <c r="AH38">
        <v>0</v>
      </c>
      <c r="AI38">
        <v>0</v>
      </c>
      <c r="AJ38">
        <v>0</v>
      </c>
      <c r="AK38">
        <v>0</v>
      </c>
      <c r="AL38">
        <v>0</v>
      </c>
      <c r="AM38">
        <v>1</v>
      </c>
      <c r="AN38">
        <v>0</v>
      </c>
      <c r="AO38">
        <v>0</v>
      </c>
      <c r="AP38">
        <v>0</v>
      </c>
      <c r="AQ38" t="s">
        <v>35</v>
      </c>
      <c r="AR38">
        <v>37</v>
      </c>
      <c r="AT38">
        <v>274</v>
      </c>
      <c r="AV38" s="2">
        <v>44857</v>
      </c>
      <c r="AW38">
        <v>6.1696658097686437E-2</v>
      </c>
      <c r="AX38" t="s">
        <v>61</v>
      </c>
      <c r="AY38">
        <v>3.6269430051813482E-2</v>
      </c>
      <c r="AZ38">
        <v>1.714285714285704E-2</v>
      </c>
      <c r="BA38" t="s">
        <v>69</v>
      </c>
      <c r="BB38" t="s">
        <v>69</v>
      </c>
      <c r="BC38">
        <v>1</v>
      </c>
      <c r="BD38">
        <v>0</v>
      </c>
      <c r="BE38" t="s">
        <v>66</v>
      </c>
      <c r="BF38" t="s">
        <v>66</v>
      </c>
      <c r="BG38" t="s">
        <v>69</v>
      </c>
      <c r="BH38">
        <v>1</v>
      </c>
    </row>
    <row r="39" spans="1:60" x14ac:dyDescent="0.2">
      <c r="A39" t="s">
        <v>35</v>
      </c>
      <c r="B39">
        <v>16342</v>
      </c>
      <c r="C39" s="2">
        <v>44568</v>
      </c>
      <c r="D39" t="s">
        <v>88</v>
      </c>
      <c r="E39">
        <v>2022</v>
      </c>
      <c r="F39">
        <v>1</v>
      </c>
      <c r="G39">
        <v>1</v>
      </c>
      <c r="H39" t="s">
        <v>115</v>
      </c>
      <c r="I39">
        <v>0.13</v>
      </c>
      <c r="J39" t="s">
        <v>69</v>
      </c>
      <c r="K39" t="s">
        <v>121</v>
      </c>
      <c r="L39" s="6">
        <v>1</v>
      </c>
      <c r="M39" s="4">
        <v>1</v>
      </c>
      <c r="N39" s="4">
        <f t="shared" si="0"/>
        <v>0</v>
      </c>
      <c r="O39">
        <v>1</v>
      </c>
      <c r="P39">
        <v>1</v>
      </c>
      <c r="Q39">
        <v>1</v>
      </c>
      <c r="R39">
        <v>18</v>
      </c>
      <c r="S39">
        <v>0.70916700399999999</v>
      </c>
      <c r="T39">
        <v>18</v>
      </c>
      <c r="U39">
        <v>0</v>
      </c>
      <c r="V39">
        <v>0</v>
      </c>
      <c r="W39">
        <v>0</v>
      </c>
      <c r="X39">
        <v>0</v>
      </c>
      <c r="Y39">
        <v>0</v>
      </c>
      <c r="Z39">
        <v>0</v>
      </c>
      <c r="AA39">
        <v>0</v>
      </c>
      <c r="AB39">
        <v>0</v>
      </c>
      <c r="AC39">
        <v>0</v>
      </c>
      <c r="AD39">
        <v>0</v>
      </c>
      <c r="AE39">
        <v>0</v>
      </c>
      <c r="AF39">
        <v>0</v>
      </c>
      <c r="AG39">
        <v>0</v>
      </c>
      <c r="AH39">
        <v>0</v>
      </c>
      <c r="AI39">
        <v>0</v>
      </c>
      <c r="AJ39">
        <v>0</v>
      </c>
      <c r="AK39">
        <v>0</v>
      </c>
      <c r="AL39">
        <v>0</v>
      </c>
      <c r="AM39">
        <v>1</v>
      </c>
      <c r="AN39">
        <v>0</v>
      </c>
      <c r="AO39">
        <v>0</v>
      </c>
      <c r="AP39">
        <v>0</v>
      </c>
      <c r="AQ39" t="s">
        <v>35</v>
      </c>
      <c r="AR39">
        <v>49</v>
      </c>
      <c r="AS39">
        <v>268</v>
      </c>
      <c r="AT39">
        <v>274</v>
      </c>
      <c r="AU39">
        <v>2.18978102189781E-2</v>
      </c>
      <c r="AV39" s="2">
        <v>44563</v>
      </c>
      <c r="AW39">
        <v>6.0240963855421693E-2</v>
      </c>
      <c r="AX39" t="s">
        <v>61</v>
      </c>
      <c r="AY39">
        <v>0.1428571428571429</v>
      </c>
      <c r="AZ39">
        <v>8.1967213114754106E-2</v>
      </c>
      <c r="BA39" t="s">
        <v>69</v>
      </c>
      <c r="BB39" t="s">
        <v>69</v>
      </c>
      <c r="BC39">
        <v>1</v>
      </c>
      <c r="BD39">
        <v>0</v>
      </c>
      <c r="BE39" t="s">
        <v>62</v>
      </c>
      <c r="BF39" t="s">
        <v>62</v>
      </c>
      <c r="BG39" t="s">
        <v>69</v>
      </c>
      <c r="BH39">
        <v>1</v>
      </c>
    </row>
    <row r="40" spans="1:60" x14ac:dyDescent="0.2">
      <c r="A40" t="s">
        <v>35</v>
      </c>
      <c r="B40">
        <v>23623</v>
      </c>
      <c r="C40" s="2">
        <v>44799</v>
      </c>
      <c r="D40" t="s">
        <v>63</v>
      </c>
      <c r="E40">
        <v>2022</v>
      </c>
      <c r="F40">
        <v>8</v>
      </c>
      <c r="G40">
        <v>3</v>
      </c>
      <c r="H40" t="s">
        <v>82</v>
      </c>
      <c r="I40">
        <v>0.05</v>
      </c>
      <c r="J40" t="s">
        <v>69</v>
      </c>
      <c r="K40" t="s">
        <v>122</v>
      </c>
      <c r="L40" s="6">
        <v>1</v>
      </c>
      <c r="M40" s="4">
        <v>1</v>
      </c>
      <c r="N40" s="4">
        <f t="shared" si="0"/>
        <v>0</v>
      </c>
      <c r="O40">
        <v>1</v>
      </c>
      <c r="P40">
        <v>1</v>
      </c>
      <c r="Q40">
        <v>1</v>
      </c>
      <c r="R40">
        <v>18</v>
      </c>
      <c r="S40">
        <v>0.83381420399999995</v>
      </c>
      <c r="T40">
        <v>18</v>
      </c>
      <c r="U40">
        <v>0</v>
      </c>
      <c r="V40">
        <v>0</v>
      </c>
      <c r="W40">
        <v>0</v>
      </c>
      <c r="X40">
        <v>0</v>
      </c>
      <c r="Y40">
        <v>0</v>
      </c>
      <c r="Z40">
        <v>0</v>
      </c>
      <c r="AA40">
        <v>0</v>
      </c>
      <c r="AB40">
        <v>0</v>
      </c>
      <c r="AC40">
        <v>0</v>
      </c>
      <c r="AD40">
        <v>0</v>
      </c>
      <c r="AE40">
        <v>0</v>
      </c>
      <c r="AF40">
        <v>0</v>
      </c>
      <c r="AG40">
        <v>0</v>
      </c>
      <c r="AH40">
        <v>0</v>
      </c>
      <c r="AI40">
        <v>0</v>
      </c>
      <c r="AJ40">
        <v>0</v>
      </c>
      <c r="AK40">
        <v>0</v>
      </c>
      <c r="AL40">
        <v>0</v>
      </c>
      <c r="AM40">
        <v>1</v>
      </c>
      <c r="AN40">
        <v>0</v>
      </c>
      <c r="AO40">
        <v>0</v>
      </c>
      <c r="AP40">
        <v>0</v>
      </c>
      <c r="AQ40" t="s">
        <v>35</v>
      </c>
      <c r="AR40">
        <v>48</v>
      </c>
      <c r="AS40">
        <v>37</v>
      </c>
      <c r="AT40">
        <v>274</v>
      </c>
      <c r="AU40">
        <v>0.86496350364963503</v>
      </c>
      <c r="AV40" s="2">
        <v>44794</v>
      </c>
      <c r="AW40">
        <v>5.3830227743271238E-2</v>
      </c>
      <c r="AX40" t="s">
        <v>61</v>
      </c>
      <c r="AY40">
        <v>7.2463768115942018E-2</v>
      </c>
      <c r="AZ40">
        <v>0.1647727272727274</v>
      </c>
      <c r="BA40" t="s">
        <v>69</v>
      </c>
      <c r="BB40" t="s">
        <v>69</v>
      </c>
      <c r="BC40">
        <v>1</v>
      </c>
      <c r="BD40">
        <v>0</v>
      </c>
      <c r="BE40" t="s">
        <v>66</v>
      </c>
      <c r="BF40" t="s">
        <v>66</v>
      </c>
      <c r="BG40" t="s">
        <v>69</v>
      </c>
      <c r="BH40">
        <v>1</v>
      </c>
    </row>
    <row r="41" spans="1:60" x14ac:dyDescent="0.2">
      <c r="A41" t="s">
        <v>35</v>
      </c>
      <c r="B41">
        <v>23590</v>
      </c>
      <c r="C41" s="2">
        <v>44802</v>
      </c>
      <c r="D41" t="s">
        <v>63</v>
      </c>
      <c r="E41">
        <v>2022</v>
      </c>
      <c r="F41">
        <v>8</v>
      </c>
      <c r="G41">
        <v>3</v>
      </c>
      <c r="H41" t="s">
        <v>82</v>
      </c>
      <c r="I41">
        <v>0.05</v>
      </c>
      <c r="J41" t="s">
        <v>69</v>
      </c>
      <c r="K41" t="s">
        <v>123</v>
      </c>
      <c r="L41" s="6">
        <v>1</v>
      </c>
      <c r="M41" s="4">
        <v>1</v>
      </c>
      <c r="N41" s="4">
        <f t="shared" si="0"/>
        <v>0</v>
      </c>
      <c r="O41">
        <v>1</v>
      </c>
      <c r="P41">
        <v>1</v>
      </c>
      <c r="Q41">
        <v>1</v>
      </c>
      <c r="R41">
        <v>18</v>
      </c>
      <c r="S41">
        <v>0.68115007900000002</v>
      </c>
      <c r="T41">
        <v>18</v>
      </c>
      <c r="U41">
        <v>0</v>
      </c>
      <c r="V41">
        <v>0</v>
      </c>
      <c r="W41">
        <v>0</v>
      </c>
      <c r="X41">
        <v>0</v>
      </c>
      <c r="Y41">
        <v>0</v>
      </c>
      <c r="Z41">
        <v>0</v>
      </c>
      <c r="AA41">
        <v>0</v>
      </c>
      <c r="AB41">
        <v>0</v>
      </c>
      <c r="AC41">
        <v>0</v>
      </c>
      <c r="AD41">
        <v>0</v>
      </c>
      <c r="AE41">
        <v>0</v>
      </c>
      <c r="AF41">
        <v>0</v>
      </c>
      <c r="AG41">
        <v>0</v>
      </c>
      <c r="AH41">
        <v>0</v>
      </c>
      <c r="AI41">
        <v>0</v>
      </c>
      <c r="AJ41">
        <v>0</v>
      </c>
      <c r="AK41">
        <v>0</v>
      </c>
      <c r="AL41">
        <v>0</v>
      </c>
      <c r="AM41">
        <v>1</v>
      </c>
      <c r="AN41">
        <v>0</v>
      </c>
      <c r="AO41">
        <v>0</v>
      </c>
      <c r="AP41">
        <v>0</v>
      </c>
      <c r="AQ41" t="s">
        <v>35</v>
      </c>
      <c r="AR41">
        <v>31</v>
      </c>
      <c r="AS41">
        <v>34</v>
      </c>
      <c r="AT41">
        <v>274</v>
      </c>
      <c r="AU41">
        <v>0.87591240875912413</v>
      </c>
      <c r="AV41" s="2">
        <v>44801</v>
      </c>
      <c r="AW41">
        <v>4.031007751937974E-2</v>
      </c>
      <c r="AX41" t="s">
        <v>61</v>
      </c>
      <c r="AY41">
        <v>0.17333333333333331</v>
      </c>
      <c r="AZ41">
        <v>0.1647727272727274</v>
      </c>
      <c r="BA41" t="s">
        <v>69</v>
      </c>
      <c r="BB41" t="s">
        <v>69</v>
      </c>
      <c r="BC41">
        <v>1</v>
      </c>
      <c r="BD41">
        <v>0</v>
      </c>
      <c r="BE41" t="s">
        <v>66</v>
      </c>
      <c r="BF41" t="s">
        <v>66</v>
      </c>
      <c r="BG41" t="s">
        <v>69</v>
      </c>
      <c r="BH41">
        <v>1</v>
      </c>
    </row>
    <row r="42" spans="1:60" x14ac:dyDescent="0.2">
      <c r="A42" t="s">
        <v>35</v>
      </c>
      <c r="B42">
        <v>19692</v>
      </c>
      <c r="C42" s="2">
        <v>44638</v>
      </c>
      <c r="D42" t="s">
        <v>71</v>
      </c>
      <c r="E42">
        <v>2022</v>
      </c>
      <c r="F42">
        <v>3</v>
      </c>
      <c r="G42">
        <v>1</v>
      </c>
      <c r="H42" t="s">
        <v>58</v>
      </c>
      <c r="I42">
        <v>0.81</v>
      </c>
      <c r="J42" t="s">
        <v>59</v>
      </c>
      <c r="K42" t="s">
        <v>124</v>
      </c>
      <c r="L42" s="6">
        <v>1</v>
      </c>
      <c r="M42" s="4">
        <v>1</v>
      </c>
      <c r="N42" s="4">
        <f t="shared" si="0"/>
        <v>0</v>
      </c>
      <c r="O42">
        <v>1</v>
      </c>
      <c r="P42">
        <v>1</v>
      </c>
      <c r="Q42">
        <v>1</v>
      </c>
      <c r="R42">
        <v>18</v>
      </c>
      <c r="S42">
        <v>0.67851406299999995</v>
      </c>
      <c r="T42">
        <v>18</v>
      </c>
      <c r="U42">
        <v>0</v>
      </c>
      <c r="V42">
        <v>0</v>
      </c>
      <c r="W42">
        <v>0</v>
      </c>
      <c r="X42">
        <v>0</v>
      </c>
      <c r="Y42">
        <v>0</v>
      </c>
      <c r="Z42">
        <v>0</v>
      </c>
      <c r="AA42">
        <v>0</v>
      </c>
      <c r="AB42">
        <v>0</v>
      </c>
      <c r="AC42">
        <v>0</v>
      </c>
      <c r="AD42">
        <v>0</v>
      </c>
      <c r="AE42">
        <v>0</v>
      </c>
      <c r="AF42">
        <v>0</v>
      </c>
      <c r="AG42">
        <v>0</v>
      </c>
      <c r="AH42">
        <v>0</v>
      </c>
      <c r="AI42">
        <v>0</v>
      </c>
      <c r="AJ42">
        <v>0</v>
      </c>
      <c r="AK42">
        <v>0</v>
      </c>
      <c r="AL42">
        <v>0</v>
      </c>
      <c r="AM42">
        <v>1</v>
      </c>
      <c r="AN42">
        <v>0</v>
      </c>
      <c r="AO42">
        <v>0</v>
      </c>
      <c r="AP42">
        <v>0</v>
      </c>
      <c r="AQ42" t="s">
        <v>35</v>
      </c>
      <c r="AR42">
        <v>47</v>
      </c>
      <c r="AS42">
        <v>198</v>
      </c>
      <c r="AT42">
        <v>274</v>
      </c>
      <c r="AU42">
        <v>0.27737226277372262</v>
      </c>
      <c r="AV42" s="2">
        <v>44633</v>
      </c>
      <c r="AW42">
        <v>8.9108910891089049E-2</v>
      </c>
      <c r="AX42" t="s">
        <v>61</v>
      </c>
      <c r="AY42">
        <v>0.10526315789473691</v>
      </c>
      <c r="AZ42">
        <v>8.8262910798122124E-2</v>
      </c>
      <c r="BA42" t="s">
        <v>59</v>
      </c>
      <c r="BB42" t="s">
        <v>59</v>
      </c>
      <c r="BC42">
        <v>0</v>
      </c>
      <c r="BD42">
        <v>0</v>
      </c>
      <c r="BE42" t="s">
        <v>62</v>
      </c>
      <c r="BF42" t="s">
        <v>62</v>
      </c>
      <c r="BG42" t="s">
        <v>59</v>
      </c>
      <c r="BH42">
        <v>1</v>
      </c>
    </row>
    <row r="43" spans="1:60" x14ac:dyDescent="0.2">
      <c r="A43" t="s">
        <v>35</v>
      </c>
      <c r="B43">
        <v>10847</v>
      </c>
      <c r="C43" s="2">
        <v>44791</v>
      </c>
      <c r="D43" t="s">
        <v>63</v>
      </c>
      <c r="E43">
        <v>2022</v>
      </c>
      <c r="F43">
        <v>8</v>
      </c>
      <c r="G43">
        <v>3</v>
      </c>
      <c r="H43" t="s">
        <v>73</v>
      </c>
      <c r="I43">
        <v>0.39</v>
      </c>
      <c r="J43" t="s">
        <v>74</v>
      </c>
      <c r="K43" t="s">
        <v>125</v>
      </c>
      <c r="L43" s="6">
        <v>1</v>
      </c>
      <c r="M43" s="4">
        <v>0</v>
      </c>
      <c r="N43" s="4">
        <f t="shared" si="0"/>
        <v>1</v>
      </c>
      <c r="O43">
        <v>1</v>
      </c>
      <c r="P43">
        <v>1</v>
      </c>
      <c r="Q43">
        <v>1</v>
      </c>
      <c r="R43">
        <v>18</v>
      </c>
      <c r="S43">
        <v>0.970597029</v>
      </c>
      <c r="T43">
        <v>18</v>
      </c>
      <c r="U43">
        <v>0</v>
      </c>
      <c r="V43">
        <v>0</v>
      </c>
      <c r="W43">
        <v>0</v>
      </c>
      <c r="X43">
        <v>0</v>
      </c>
      <c r="Y43">
        <v>0</v>
      </c>
      <c r="Z43">
        <v>0</v>
      </c>
      <c r="AA43">
        <v>0</v>
      </c>
      <c r="AB43">
        <v>0</v>
      </c>
      <c r="AC43">
        <v>0</v>
      </c>
      <c r="AD43">
        <v>0</v>
      </c>
      <c r="AE43">
        <v>0</v>
      </c>
      <c r="AF43">
        <v>0</v>
      </c>
      <c r="AG43">
        <v>0</v>
      </c>
      <c r="AH43">
        <v>0</v>
      </c>
      <c r="AI43">
        <v>0</v>
      </c>
      <c r="AJ43">
        <v>0</v>
      </c>
      <c r="AK43">
        <v>0</v>
      </c>
      <c r="AL43">
        <v>0</v>
      </c>
      <c r="AM43">
        <v>1</v>
      </c>
      <c r="AN43">
        <v>0</v>
      </c>
      <c r="AO43">
        <v>0</v>
      </c>
      <c r="AP43">
        <v>0</v>
      </c>
      <c r="AQ43" t="s">
        <v>35</v>
      </c>
      <c r="AR43">
        <v>46</v>
      </c>
      <c r="AS43">
        <v>45</v>
      </c>
      <c r="AT43">
        <v>274</v>
      </c>
      <c r="AU43">
        <v>0.83576642335766427</v>
      </c>
      <c r="AV43" s="2">
        <v>44787</v>
      </c>
      <c r="AW43">
        <v>5.9800664451827232E-2</v>
      </c>
      <c r="AX43" t="s">
        <v>61</v>
      </c>
      <c r="AY43">
        <v>7.0175438596491224E-2</v>
      </c>
      <c r="AZ43">
        <v>5.7251908396946792E-2</v>
      </c>
      <c r="BA43" t="s">
        <v>69</v>
      </c>
      <c r="BB43" t="s">
        <v>69</v>
      </c>
      <c r="BC43">
        <v>1</v>
      </c>
      <c r="BD43">
        <v>0</v>
      </c>
      <c r="BE43" t="s">
        <v>66</v>
      </c>
      <c r="BF43" t="s">
        <v>66</v>
      </c>
      <c r="BG43" t="s">
        <v>69</v>
      </c>
      <c r="BH43">
        <v>1</v>
      </c>
    </row>
    <row r="44" spans="1:60" x14ac:dyDescent="0.2">
      <c r="A44" t="s">
        <v>35</v>
      </c>
      <c r="B44">
        <v>800</v>
      </c>
      <c r="C44" s="2">
        <v>44720</v>
      </c>
      <c r="D44" t="s">
        <v>126</v>
      </c>
      <c r="E44">
        <v>2022</v>
      </c>
      <c r="F44">
        <v>6</v>
      </c>
      <c r="G44">
        <v>2</v>
      </c>
      <c r="H44" t="s">
        <v>64</v>
      </c>
      <c r="I44">
        <v>0.8</v>
      </c>
      <c r="J44" t="s">
        <v>59</v>
      </c>
      <c r="K44" t="s">
        <v>127</v>
      </c>
      <c r="L44" s="6">
        <v>1</v>
      </c>
      <c r="M44" s="4">
        <v>1</v>
      </c>
      <c r="N44" s="4">
        <f t="shared" si="0"/>
        <v>0</v>
      </c>
      <c r="O44">
        <v>1</v>
      </c>
      <c r="P44">
        <v>1</v>
      </c>
      <c r="Q44">
        <v>1</v>
      </c>
      <c r="R44">
        <v>18</v>
      </c>
      <c r="S44">
        <v>0.99795132900000005</v>
      </c>
      <c r="T44">
        <v>18</v>
      </c>
      <c r="U44">
        <v>0</v>
      </c>
      <c r="V44">
        <v>0</v>
      </c>
      <c r="W44">
        <v>0</v>
      </c>
      <c r="X44">
        <v>0</v>
      </c>
      <c r="Y44">
        <v>0</v>
      </c>
      <c r="Z44">
        <v>0</v>
      </c>
      <c r="AA44">
        <v>0</v>
      </c>
      <c r="AB44">
        <v>0</v>
      </c>
      <c r="AC44">
        <v>0</v>
      </c>
      <c r="AD44">
        <v>0</v>
      </c>
      <c r="AE44">
        <v>0</v>
      </c>
      <c r="AF44">
        <v>0</v>
      </c>
      <c r="AG44">
        <v>0</v>
      </c>
      <c r="AH44">
        <v>0</v>
      </c>
      <c r="AI44">
        <v>0</v>
      </c>
      <c r="AJ44">
        <v>0</v>
      </c>
      <c r="AK44">
        <v>0</v>
      </c>
      <c r="AL44">
        <v>0</v>
      </c>
      <c r="AM44">
        <v>1</v>
      </c>
      <c r="AN44">
        <v>0</v>
      </c>
      <c r="AO44">
        <v>0</v>
      </c>
      <c r="AP44">
        <v>0</v>
      </c>
      <c r="AQ44" t="s">
        <v>35</v>
      </c>
      <c r="AR44">
        <v>33</v>
      </c>
      <c r="AS44">
        <v>116</v>
      </c>
      <c r="AT44">
        <v>274</v>
      </c>
      <c r="AU44">
        <v>0.57664233576642332</v>
      </c>
      <c r="AV44" s="2">
        <v>44717</v>
      </c>
      <c r="AW44">
        <v>3.7234042553191488E-2</v>
      </c>
      <c r="AX44" t="s">
        <v>61</v>
      </c>
      <c r="AY44">
        <v>1.7241379310344831E-2</v>
      </c>
      <c r="AZ44">
        <v>3.1182015953589399E-2</v>
      </c>
      <c r="BA44" t="s">
        <v>59</v>
      </c>
      <c r="BB44" t="s">
        <v>59</v>
      </c>
      <c r="BC44">
        <v>0</v>
      </c>
      <c r="BD44">
        <v>0</v>
      </c>
      <c r="BE44" t="s">
        <v>81</v>
      </c>
      <c r="BF44" t="s">
        <v>62</v>
      </c>
      <c r="BG44" t="s">
        <v>59</v>
      </c>
      <c r="BH44">
        <v>1</v>
      </c>
    </row>
    <row r="45" spans="1:60" x14ac:dyDescent="0.2">
      <c r="A45" t="s">
        <v>35</v>
      </c>
      <c r="B45">
        <v>19524</v>
      </c>
      <c r="C45" s="2">
        <v>44743</v>
      </c>
      <c r="D45" t="s">
        <v>90</v>
      </c>
      <c r="E45">
        <v>2022</v>
      </c>
      <c r="F45">
        <v>7</v>
      </c>
      <c r="G45">
        <v>3</v>
      </c>
      <c r="H45" t="s">
        <v>58</v>
      </c>
      <c r="I45">
        <v>0.81</v>
      </c>
      <c r="J45" t="s">
        <v>59</v>
      </c>
      <c r="K45" t="s">
        <v>128</v>
      </c>
      <c r="L45" s="6">
        <v>1</v>
      </c>
      <c r="M45" s="4">
        <v>1</v>
      </c>
      <c r="N45" s="4">
        <f t="shared" si="0"/>
        <v>0</v>
      </c>
      <c r="O45">
        <v>1</v>
      </c>
      <c r="P45">
        <v>1</v>
      </c>
      <c r="Q45">
        <v>1</v>
      </c>
      <c r="R45">
        <v>18</v>
      </c>
      <c r="S45">
        <v>0.99658197199999998</v>
      </c>
      <c r="T45">
        <v>18</v>
      </c>
      <c r="U45">
        <v>0</v>
      </c>
      <c r="V45">
        <v>0</v>
      </c>
      <c r="W45">
        <v>0</v>
      </c>
      <c r="X45">
        <v>0</v>
      </c>
      <c r="Y45">
        <v>0</v>
      </c>
      <c r="Z45">
        <v>0</v>
      </c>
      <c r="AA45">
        <v>0</v>
      </c>
      <c r="AB45">
        <v>0</v>
      </c>
      <c r="AC45">
        <v>0</v>
      </c>
      <c r="AD45">
        <v>0</v>
      </c>
      <c r="AE45">
        <v>0</v>
      </c>
      <c r="AF45">
        <v>0</v>
      </c>
      <c r="AG45">
        <v>0</v>
      </c>
      <c r="AH45">
        <v>0</v>
      </c>
      <c r="AI45">
        <v>0</v>
      </c>
      <c r="AJ45">
        <v>0</v>
      </c>
      <c r="AK45">
        <v>0</v>
      </c>
      <c r="AL45">
        <v>0</v>
      </c>
      <c r="AM45">
        <v>1</v>
      </c>
      <c r="AN45">
        <v>0</v>
      </c>
      <c r="AO45">
        <v>0</v>
      </c>
      <c r="AP45">
        <v>0</v>
      </c>
      <c r="AQ45" t="s">
        <v>35</v>
      </c>
      <c r="AR45">
        <v>46</v>
      </c>
      <c r="AS45">
        <v>93</v>
      </c>
      <c r="AT45">
        <v>274</v>
      </c>
      <c r="AU45">
        <v>0.66058394160583944</v>
      </c>
      <c r="AV45" s="2">
        <v>44738</v>
      </c>
      <c r="AW45">
        <v>4.0723981900452483E-2</v>
      </c>
      <c r="AX45" t="s">
        <v>61</v>
      </c>
      <c r="AY45">
        <v>9.0909090909090898E-2</v>
      </c>
      <c r="AZ45">
        <v>8.8262910798122124E-2</v>
      </c>
      <c r="BA45" t="s">
        <v>59</v>
      </c>
      <c r="BB45" t="s">
        <v>59</v>
      </c>
      <c r="BC45">
        <v>0</v>
      </c>
      <c r="BD45">
        <v>0</v>
      </c>
      <c r="BE45" t="s">
        <v>81</v>
      </c>
      <c r="BF45" t="s">
        <v>62</v>
      </c>
      <c r="BG45" t="s">
        <v>59</v>
      </c>
      <c r="BH45">
        <v>1</v>
      </c>
    </row>
    <row r="46" spans="1:60" x14ac:dyDescent="0.2">
      <c r="A46" t="s">
        <v>35</v>
      </c>
      <c r="B46">
        <v>20692</v>
      </c>
      <c r="C46" s="2">
        <v>44863</v>
      </c>
      <c r="D46" t="s">
        <v>100</v>
      </c>
      <c r="E46">
        <v>2022</v>
      </c>
      <c r="F46">
        <v>10</v>
      </c>
      <c r="G46">
        <v>4</v>
      </c>
      <c r="H46" t="s">
        <v>68</v>
      </c>
      <c r="I46">
        <v>0.09</v>
      </c>
      <c r="J46" t="s">
        <v>69</v>
      </c>
      <c r="K46" t="s">
        <v>129</v>
      </c>
      <c r="L46" s="6">
        <v>1</v>
      </c>
      <c r="M46" s="4">
        <v>1</v>
      </c>
      <c r="N46" s="4">
        <f t="shared" si="0"/>
        <v>0</v>
      </c>
      <c r="O46">
        <v>1</v>
      </c>
      <c r="P46">
        <v>1</v>
      </c>
      <c r="Q46">
        <v>1</v>
      </c>
      <c r="R46">
        <v>18</v>
      </c>
      <c r="S46">
        <v>0.99785310000000005</v>
      </c>
      <c r="T46">
        <v>18</v>
      </c>
      <c r="U46">
        <v>0</v>
      </c>
      <c r="V46">
        <v>0</v>
      </c>
      <c r="W46">
        <v>0</v>
      </c>
      <c r="X46">
        <v>0</v>
      </c>
      <c r="Y46">
        <v>0</v>
      </c>
      <c r="Z46">
        <v>0</v>
      </c>
      <c r="AA46">
        <v>0</v>
      </c>
      <c r="AB46">
        <v>0</v>
      </c>
      <c r="AC46">
        <v>0</v>
      </c>
      <c r="AD46">
        <v>0</v>
      </c>
      <c r="AE46">
        <v>0</v>
      </c>
      <c r="AF46">
        <v>0</v>
      </c>
      <c r="AG46">
        <v>0</v>
      </c>
      <c r="AH46">
        <v>0</v>
      </c>
      <c r="AI46">
        <v>0</v>
      </c>
      <c r="AJ46">
        <v>0</v>
      </c>
      <c r="AK46">
        <v>0</v>
      </c>
      <c r="AL46">
        <v>0</v>
      </c>
      <c r="AM46">
        <v>1</v>
      </c>
      <c r="AN46">
        <v>0</v>
      </c>
      <c r="AO46">
        <v>0</v>
      </c>
      <c r="AP46">
        <v>0</v>
      </c>
      <c r="AQ46" t="s">
        <v>35</v>
      </c>
      <c r="AR46">
        <v>17</v>
      </c>
      <c r="AT46">
        <v>274</v>
      </c>
      <c r="AV46" s="2">
        <v>44857</v>
      </c>
      <c r="AW46">
        <v>6.1696658097686437E-2</v>
      </c>
      <c r="AX46" t="s">
        <v>61</v>
      </c>
      <c r="AY46">
        <v>3.0769230769230799E-2</v>
      </c>
      <c r="AZ46">
        <v>3.7735849056603571E-2</v>
      </c>
      <c r="BA46" t="s">
        <v>69</v>
      </c>
      <c r="BB46" t="s">
        <v>69</v>
      </c>
      <c r="BC46">
        <v>1</v>
      </c>
      <c r="BD46">
        <v>0</v>
      </c>
      <c r="BE46" t="s">
        <v>66</v>
      </c>
      <c r="BF46" t="s">
        <v>66</v>
      </c>
      <c r="BG46" t="s">
        <v>69</v>
      </c>
      <c r="BH46">
        <v>1</v>
      </c>
    </row>
    <row r="47" spans="1:60" x14ac:dyDescent="0.2">
      <c r="A47" t="s">
        <v>35</v>
      </c>
      <c r="B47">
        <v>10480</v>
      </c>
      <c r="C47" s="2">
        <v>44830</v>
      </c>
      <c r="D47" t="s">
        <v>67</v>
      </c>
      <c r="E47">
        <v>2022</v>
      </c>
      <c r="F47">
        <v>9</v>
      </c>
      <c r="G47">
        <v>3</v>
      </c>
      <c r="H47" t="s">
        <v>73</v>
      </c>
      <c r="I47">
        <v>0.39</v>
      </c>
      <c r="J47" t="s">
        <v>74</v>
      </c>
      <c r="K47" t="s">
        <v>130</v>
      </c>
      <c r="L47" s="6">
        <v>1</v>
      </c>
      <c r="M47" s="4">
        <v>1</v>
      </c>
      <c r="N47" s="4">
        <f t="shared" si="0"/>
        <v>0</v>
      </c>
      <c r="O47">
        <v>1</v>
      </c>
      <c r="P47">
        <v>1</v>
      </c>
      <c r="Q47">
        <v>1</v>
      </c>
      <c r="R47">
        <v>18</v>
      </c>
      <c r="S47">
        <v>0.99865627300000004</v>
      </c>
      <c r="T47">
        <v>18</v>
      </c>
      <c r="U47">
        <v>0</v>
      </c>
      <c r="V47">
        <v>0</v>
      </c>
      <c r="W47">
        <v>0</v>
      </c>
      <c r="X47">
        <v>0</v>
      </c>
      <c r="Y47">
        <v>0</v>
      </c>
      <c r="Z47">
        <v>0</v>
      </c>
      <c r="AA47">
        <v>0</v>
      </c>
      <c r="AB47">
        <v>0</v>
      </c>
      <c r="AC47">
        <v>0</v>
      </c>
      <c r="AD47">
        <v>0</v>
      </c>
      <c r="AE47">
        <v>0</v>
      </c>
      <c r="AF47">
        <v>0</v>
      </c>
      <c r="AG47">
        <v>0</v>
      </c>
      <c r="AH47">
        <v>0</v>
      </c>
      <c r="AI47">
        <v>0</v>
      </c>
      <c r="AJ47">
        <v>0</v>
      </c>
      <c r="AK47">
        <v>0</v>
      </c>
      <c r="AL47">
        <v>0</v>
      </c>
      <c r="AM47">
        <v>1</v>
      </c>
      <c r="AN47">
        <v>0</v>
      </c>
      <c r="AO47">
        <v>0</v>
      </c>
      <c r="AP47">
        <v>0</v>
      </c>
      <c r="AQ47" t="s">
        <v>35</v>
      </c>
      <c r="AR47">
        <v>54</v>
      </c>
      <c r="AS47">
        <v>6</v>
      </c>
      <c r="AT47">
        <v>274</v>
      </c>
      <c r="AU47">
        <v>0.97810218978102192</v>
      </c>
      <c r="AV47" s="2">
        <v>44829</v>
      </c>
      <c r="AW47">
        <v>5.4187192118226632E-2</v>
      </c>
      <c r="AX47" t="s">
        <v>61</v>
      </c>
      <c r="AY47">
        <v>0.1</v>
      </c>
      <c r="AZ47">
        <v>5.7251908396946792E-2</v>
      </c>
      <c r="BA47" t="s">
        <v>69</v>
      </c>
      <c r="BB47" t="s">
        <v>69</v>
      </c>
      <c r="BC47">
        <v>1</v>
      </c>
      <c r="BD47">
        <v>0</v>
      </c>
      <c r="BE47" t="s">
        <v>66</v>
      </c>
      <c r="BF47" t="s">
        <v>66</v>
      </c>
      <c r="BG47" t="s">
        <v>69</v>
      </c>
      <c r="BH47">
        <v>1</v>
      </c>
    </row>
    <row r="48" spans="1:60" x14ac:dyDescent="0.2">
      <c r="A48" t="s">
        <v>35</v>
      </c>
      <c r="B48">
        <v>19179</v>
      </c>
      <c r="C48" s="2">
        <v>44810</v>
      </c>
      <c r="D48" t="s">
        <v>67</v>
      </c>
      <c r="E48">
        <v>2022</v>
      </c>
      <c r="F48">
        <v>9</v>
      </c>
      <c r="G48">
        <v>3</v>
      </c>
      <c r="H48" t="s">
        <v>58</v>
      </c>
      <c r="I48">
        <v>0.81</v>
      </c>
      <c r="J48" t="s">
        <v>59</v>
      </c>
      <c r="K48" t="s">
        <v>131</v>
      </c>
      <c r="L48" s="6">
        <v>1</v>
      </c>
      <c r="M48" s="4">
        <v>1</v>
      </c>
      <c r="N48" s="4">
        <f t="shared" si="0"/>
        <v>0</v>
      </c>
      <c r="O48">
        <v>1</v>
      </c>
      <c r="P48">
        <v>1</v>
      </c>
      <c r="Q48">
        <v>1</v>
      </c>
      <c r="R48">
        <v>18</v>
      </c>
      <c r="S48">
        <v>0.89514464100000002</v>
      </c>
      <c r="T48">
        <v>18</v>
      </c>
      <c r="U48">
        <v>0</v>
      </c>
      <c r="V48">
        <v>0</v>
      </c>
      <c r="W48">
        <v>0</v>
      </c>
      <c r="X48">
        <v>0</v>
      </c>
      <c r="Y48">
        <v>0</v>
      </c>
      <c r="Z48">
        <v>0</v>
      </c>
      <c r="AA48">
        <v>0</v>
      </c>
      <c r="AB48">
        <v>0</v>
      </c>
      <c r="AC48">
        <v>0</v>
      </c>
      <c r="AD48">
        <v>0</v>
      </c>
      <c r="AE48">
        <v>0</v>
      </c>
      <c r="AF48">
        <v>0</v>
      </c>
      <c r="AG48">
        <v>0</v>
      </c>
      <c r="AH48">
        <v>0</v>
      </c>
      <c r="AI48">
        <v>0</v>
      </c>
      <c r="AJ48">
        <v>0</v>
      </c>
      <c r="AK48">
        <v>0</v>
      </c>
      <c r="AL48">
        <v>0</v>
      </c>
      <c r="AM48">
        <v>1</v>
      </c>
      <c r="AN48">
        <v>0</v>
      </c>
      <c r="AO48">
        <v>0</v>
      </c>
      <c r="AP48">
        <v>0</v>
      </c>
      <c r="AQ48" t="s">
        <v>35</v>
      </c>
      <c r="AR48">
        <v>40</v>
      </c>
      <c r="AS48">
        <v>26</v>
      </c>
      <c r="AT48">
        <v>274</v>
      </c>
      <c r="AU48">
        <v>0.9051094890510949</v>
      </c>
      <c r="AV48" s="2">
        <v>44808</v>
      </c>
      <c r="AW48">
        <v>5.8479532163742763E-2</v>
      </c>
      <c r="AX48" t="s">
        <v>61</v>
      </c>
      <c r="AY48">
        <v>0.13043478260869559</v>
      </c>
      <c r="AZ48">
        <v>8.8262910798122124E-2</v>
      </c>
      <c r="BA48" t="s">
        <v>59</v>
      </c>
      <c r="BB48" t="s">
        <v>59</v>
      </c>
      <c r="BC48">
        <v>0</v>
      </c>
      <c r="BD48">
        <v>0</v>
      </c>
      <c r="BE48" t="s">
        <v>66</v>
      </c>
      <c r="BF48" t="s">
        <v>66</v>
      </c>
      <c r="BG48" t="s">
        <v>59</v>
      </c>
      <c r="BH48">
        <v>1</v>
      </c>
    </row>
    <row r="49" spans="1:60" x14ac:dyDescent="0.2">
      <c r="A49" t="s">
        <v>35</v>
      </c>
      <c r="B49">
        <v>22059</v>
      </c>
      <c r="C49" s="2">
        <v>44634</v>
      </c>
      <c r="D49" t="s">
        <v>71</v>
      </c>
      <c r="E49">
        <v>2022</v>
      </c>
      <c r="F49">
        <v>3</v>
      </c>
      <c r="G49">
        <v>1</v>
      </c>
      <c r="H49" t="s">
        <v>68</v>
      </c>
      <c r="I49">
        <v>0.09</v>
      </c>
      <c r="J49" t="s">
        <v>69</v>
      </c>
      <c r="K49" t="s">
        <v>132</v>
      </c>
      <c r="L49" s="6">
        <v>1</v>
      </c>
      <c r="M49" s="4">
        <v>1</v>
      </c>
      <c r="N49" s="4">
        <f t="shared" si="0"/>
        <v>0</v>
      </c>
      <c r="O49">
        <v>1</v>
      </c>
      <c r="P49">
        <v>1</v>
      </c>
      <c r="Q49">
        <v>1</v>
      </c>
      <c r="R49">
        <v>18</v>
      </c>
      <c r="S49">
        <v>0.58608901499999999</v>
      </c>
      <c r="T49">
        <v>18</v>
      </c>
      <c r="U49">
        <v>0</v>
      </c>
      <c r="V49">
        <v>0</v>
      </c>
      <c r="W49">
        <v>0</v>
      </c>
      <c r="X49">
        <v>0</v>
      </c>
      <c r="Y49">
        <v>0</v>
      </c>
      <c r="Z49">
        <v>0</v>
      </c>
      <c r="AA49">
        <v>0</v>
      </c>
      <c r="AB49">
        <v>0</v>
      </c>
      <c r="AC49">
        <v>0</v>
      </c>
      <c r="AD49">
        <v>0</v>
      </c>
      <c r="AE49">
        <v>0</v>
      </c>
      <c r="AF49">
        <v>0</v>
      </c>
      <c r="AG49">
        <v>0</v>
      </c>
      <c r="AH49">
        <v>0</v>
      </c>
      <c r="AI49">
        <v>0</v>
      </c>
      <c r="AJ49">
        <v>0</v>
      </c>
      <c r="AK49">
        <v>0</v>
      </c>
      <c r="AL49">
        <v>0</v>
      </c>
      <c r="AM49">
        <v>1</v>
      </c>
      <c r="AN49">
        <v>0</v>
      </c>
      <c r="AO49">
        <v>0</v>
      </c>
      <c r="AP49">
        <v>0</v>
      </c>
      <c r="AQ49" t="s">
        <v>35</v>
      </c>
      <c r="AR49">
        <v>39</v>
      </c>
      <c r="AS49">
        <v>202</v>
      </c>
      <c r="AT49">
        <v>274</v>
      </c>
      <c r="AU49">
        <v>0.26277372262773718</v>
      </c>
      <c r="AV49" s="2">
        <v>44633</v>
      </c>
      <c r="AW49">
        <v>8.9108910891089049E-2</v>
      </c>
      <c r="AX49" t="s">
        <v>61</v>
      </c>
      <c r="AY49">
        <v>0.15384615384615391</v>
      </c>
      <c r="AZ49">
        <v>3.7735849056603571E-2</v>
      </c>
      <c r="BA49" t="s">
        <v>69</v>
      </c>
      <c r="BB49" t="s">
        <v>69</v>
      </c>
      <c r="BC49">
        <v>1</v>
      </c>
      <c r="BD49">
        <v>0</v>
      </c>
      <c r="BE49" t="s">
        <v>62</v>
      </c>
      <c r="BF49" t="s">
        <v>62</v>
      </c>
      <c r="BG49" t="s">
        <v>69</v>
      </c>
      <c r="BH49">
        <v>1</v>
      </c>
    </row>
    <row r="50" spans="1:60" x14ac:dyDescent="0.2">
      <c r="A50" t="s">
        <v>35</v>
      </c>
      <c r="B50">
        <v>22138</v>
      </c>
      <c r="C50" s="2">
        <v>44609</v>
      </c>
      <c r="D50" t="s">
        <v>57</v>
      </c>
      <c r="E50">
        <v>2022</v>
      </c>
      <c r="F50">
        <v>2</v>
      </c>
      <c r="G50">
        <v>1</v>
      </c>
      <c r="H50" t="s">
        <v>68</v>
      </c>
      <c r="I50">
        <v>0.09</v>
      </c>
      <c r="J50" t="s">
        <v>69</v>
      </c>
      <c r="K50" t="s">
        <v>133</v>
      </c>
      <c r="L50" s="6">
        <v>1</v>
      </c>
      <c r="M50" s="4">
        <v>1</v>
      </c>
      <c r="N50" s="4">
        <f t="shared" si="0"/>
        <v>0</v>
      </c>
      <c r="O50">
        <v>1</v>
      </c>
      <c r="P50">
        <v>1</v>
      </c>
      <c r="Q50">
        <v>1</v>
      </c>
      <c r="R50">
        <v>18</v>
      </c>
      <c r="S50">
        <v>0.998659611</v>
      </c>
      <c r="T50">
        <v>18</v>
      </c>
      <c r="U50">
        <v>0</v>
      </c>
      <c r="V50">
        <v>0</v>
      </c>
      <c r="W50">
        <v>0</v>
      </c>
      <c r="X50">
        <v>0</v>
      </c>
      <c r="Y50">
        <v>0</v>
      </c>
      <c r="Z50">
        <v>0</v>
      </c>
      <c r="AA50">
        <v>0</v>
      </c>
      <c r="AB50">
        <v>0</v>
      </c>
      <c r="AC50">
        <v>0</v>
      </c>
      <c r="AD50">
        <v>0</v>
      </c>
      <c r="AE50">
        <v>0</v>
      </c>
      <c r="AF50">
        <v>0</v>
      </c>
      <c r="AG50">
        <v>0</v>
      </c>
      <c r="AH50">
        <v>0</v>
      </c>
      <c r="AI50">
        <v>0</v>
      </c>
      <c r="AJ50">
        <v>0</v>
      </c>
      <c r="AK50">
        <v>0</v>
      </c>
      <c r="AL50">
        <v>0</v>
      </c>
      <c r="AM50">
        <v>1</v>
      </c>
      <c r="AN50">
        <v>0</v>
      </c>
      <c r="AO50">
        <v>0</v>
      </c>
      <c r="AP50">
        <v>0</v>
      </c>
      <c r="AQ50" t="s">
        <v>35</v>
      </c>
      <c r="AR50">
        <v>42</v>
      </c>
      <c r="AS50">
        <v>227</v>
      </c>
      <c r="AT50">
        <v>274</v>
      </c>
      <c r="AU50">
        <v>0.17153284671532851</v>
      </c>
      <c r="AV50" s="2">
        <v>44605</v>
      </c>
      <c r="AW50">
        <v>3.4285714285714308E-2</v>
      </c>
      <c r="AX50" t="s">
        <v>61</v>
      </c>
      <c r="AY50">
        <v>3.9999999999999987E-2</v>
      </c>
      <c r="AZ50">
        <v>3.7735849056603571E-2</v>
      </c>
      <c r="BA50" t="s">
        <v>69</v>
      </c>
      <c r="BB50" t="s">
        <v>69</v>
      </c>
      <c r="BC50">
        <v>1</v>
      </c>
      <c r="BD50">
        <v>0</v>
      </c>
      <c r="BE50" t="s">
        <v>62</v>
      </c>
      <c r="BF50" t="s">
        <v>62</v>
      </c>
      <c r="BG50" t="s">
        <v>69</v>
      </c>
      <c r="BH50">
        <v>1</v>
      </c>
    </row>
    <row r="51" spans="1:60" x14ac:dyDescent="0.2">
      <c r="A51" t="s">
        <v>35</v>
      </c>
      <c r="B51">
        <v>19675</v>
      </c>
      <c r="C51" s="2">
        <v>44643</v>
      </c>
      <c r="D51" t="s">
        <v>71</v>
      </c>
      <c r="E51">
        <v>2022</v>
      </c>
      <c r="F51">
        <v>3</v>
      </c>
      <c r="G51">
        <v>1</v>
      </c>
      <c r="H51" t="s">
        <v>58</v>
      </c>
      <c r="I51">
        <v>0.81</v>
      </c>
      <c r="J51" t="s">
        <v>59</v>
      </c>
      <c r="K51" t="s">
        <v>134</v>
      </c>
      <c r="L51" s="6">
        <v>1</v>
      </c>
      <c r="M51" s="4">
        <v>1</v>
      </c>
      <c r="N51" s="4">
        <f t="shared" si="0"/>
        <v>0</v>
      </c>
      <c r="O51">
        <v>1</v>
      </c>
      <c r="P51">
        <v>1</v>
      </c>
      <c r="Q51">
        <v>1</v>
      </c>
      <c r="R51">
        <v>18</v>
      </c>
      <c r="S51">
        <v>0.99438548100000002</v>
      </c>
      <c r="T51">
        <v>18</v>
      </c>
      <c r="U51">
        <v>0</v>
      </c>
      <c r="V51">
        <v>0</v>
      </c>
      <c r="W51">
        <v>0</v>
      </c>
      <c r="X51">
        <v>0</v>
      </c>
      <c r="Y51">
        <v>0</v>
      </c>
      <c r="Z51">
        <v>0</v>
      </c>
      <c r="AA51">
        <v>0</v>
      </c>
      <c r="AB51">
        <v>0</v>
      </c>
      <c r="AC51">
        <v>0</v>
      </c>
      <c r="AD51">
        <v>0</v>
      </c>
      <c r="AE51">
        <v>0</v>
      </c>
      <c r="AF51">
        <v>0</v>
      </c>
      <c r="AG51">
        <v>0</v>
      </c>
      <c r="AH51">
        <v>0</v>
      </c>
      <c r="AI51">
        <v>0</v>
      </c>
      <c r="AJ51">
        <v>0</v>
      </c>
      <c r="AK51">
        <v>0</v>
      </c>
      <c r="AL51">
        <v>0</v>
      </c>
      <c r="AM51">
        <v>1</v>
      </c>
      <c r="AN51">
        <v>0</v>
      </c>
      <c r="AO51">
        <v>0</v>
      </c>
      <c r="AP51">
        <v>0</v>
      </c>
      <c r="AQ51" t="s">
        <v>35</v>
      </c>
      <c r="AR51">
        <v>50</v>
      </c>
      <c r="AS51">
        <v>193</v>
      </c>
      <c r="AT51">
        <v>274</v>
      </c>
      <c r="AU51">
        <v>0.29562043795620441</v>
      </c>
      <c r="AV51" s="2">
        <v>44640</v>
      </c>
      <c r="AW51">
        <v>2.8037383177570149E-2</v>
      </c>
      <c r="AX51" t="s">
        <v>61</v>
      </c>
      <c r="AY51">
        <v>0.17241379310344829</v>
      </c>
      <c r="AZ51">
        <v>8.8262910798122124E-2</v>
      </c>
      <c r="BA51" t="s">
        <v>59</v>
      </c>
      <c r="BB51" t="s">
        <v>59</v>
      </c>
      <c r="BC51">
        <v>0</v>
      </c>
      <c r="BD51">
        <v>0</v>
      </c>
      <c r="BE51" t="s">
        <v>62</v>
      </c>
      <c r="BF51" t="s">
        <v>62</v>
      </c>
      <c r="BG51" t="s">
        <v>59</v>
      </c>
      <c r="BH51">
        <v>1</v>
      </c>
    </row>
    <row r="52" spans="1:60" x14ac:dyDescent="0.2">
      <c r="A52" t="s">
        <v>35</v>
      </c>
      <c r="B52">
        <v>6206</v>
      </c>
      <c r="C52" s="2">
        <v>44828</v>
      </c>
      <c r="D52" t="s">
        <v>67</v>
      </c>
      <c r="E52">
        <v>2022</v>
      </c>
      <c r="F52">
        <v>9</v>
      </c>
      <c r="G52">
        <v>3</v>
      </c>
      <c r="H52" t="s">
        <v>79</v>
      </c>
      <c r="I52">
        <v>0.3</v>
      </c>
      <c r="J52" t="s">
        <v>69</v>
      </c>
      <c r="K52" t="s">
        <v>135</v>
      </c>
      <c r="L52" s="6">
        <v>1</v>
      </c>
      <c r="M52" s="4">
        <v>1</v>
      </c>
      <c r="N52" s="4">
        <f t="shared" si="0"/>
        <v>0</v>
      </c>
      <c r="O52">
        <v>1</v>
      </c>
      <c r="P52">
        <v>1</v>
      </c>
      <c r="Q52">
        <v>1</v>
      </c>
      <c r="R52">
        <v>18</v>
      </c>
      <c r="S52">
        <v>0.98905187800000005</v>
      </c>
      <c r="T52">
        <v>18</v>
      </c>
      <c r="U52">
        <v>0</v>
      </c>
      <c r="V52">
        <v>0</v>
      </c>
      <c r="W52">
        <v>0</v>
      </c>
      <c r="X52">
        <v>0</v>
      </c>
      <c r="Y52">
        <v>0</v>
      </c>
      <c r="Z52">
        <v>0</v>
      </c>
      <c r="AA52">
        <v>0</v>
      </c>
      <c r="AB52">
        <v>0</v>
      </c>
      <c r="AC52">
        <v>0</v>
      </c>
      <c r="AD52">
        <v>0</v>
      </c>
      <c r="AE52">
        <v>0</v>
      </c>
      <c r="AF52">
        <v>0</v>
      </c>
      <c r="AG52">
        <v>0</v>
      </c>
      <c r="AH52">
        <v>0</v>
      </c>
      <c r="AI52">
        <v>0</v>
      </c>
      <c r="AJ52">
        <v>0</v>
      </c>
      <c r="AK52">
        <v>0</v>
      </c>
      <c r="AL52">
        <v>0</v>
      </c>
      <c r="AM52">
        <v>1</v>
      </c>
      <c r="AN52">
        <v>0</v>
      </c>
      <c r="AO52">
        <v>0</v>
      </c>
      <c r="AP52">
        <v>0</v>
      </c>
      <c r="AQ52" t="s">
        <v>35</v>
      </c>
      <c r="AR52">
        <v>47</v>
      </c>
      <c r="AS52">
        <v>8</v>
      </c>
      <c r="AT52">
        <v>274</v>
      </c>
      <c r="AU52">
        <v>0.97080291970802923</v>
      </c>
      <c r="AV52" s="2">
        <v>44822</v>
      </c>
      <c r="AW52">
        <v>5.1401869158878552E-2</v>
      </c>
      <c r="AX52" t="s">
        <v>61</v>
      </c>
      <c r="AY52">
        <v>1.0638297872340439E-2</v>
      </c>
      <c r="AZ52">
        <v>1.714285714285704E-2</v>
      </c>
      <c r="BA52" t="s">
        <v>69</v>
      </c>
      <c r="BB52" t="s">
        <v>69</v>
      </c>
      <c r="BC52">
        <v>1</v>
      </c>
      <c r="BD52">
        <v>0</v>
      </c>
      <c r="BE52" t="s">
        <v>66</v>
      </c>
      <c r="BF52" t="s">
        <v>66</v>
      </c>
      <c r="BG52" t="s">
        <v>69</v>
      </c>
      <c r="BH52">
        <v>1</v>
      </c>
    </row>
    <row r="53" spans="1:60" x14ac:dyDescent="0.2">
      <c r="A53" t="s">
        <v>136</v>
      </c>
      <c r="B53">
        <v>16184</v>
      </c>
      <c r="C53" s="2">
        <v>44764</v>
      </c>
      <c r="D53" t="s">
        <v>90</v>
      </c>
      <c r="E53">
        <v>2022</v>
      </c>
      <c r="F53">
        <v>7</v>
      </c>
      <c r="G53">
        <v>3</v>
      </c>
      <c r="H53" t="s">
        <v>115</v>
      </c>
      <c r="I53">
        <v>0.13</v>
      </c>
      <c r="J53" t="s">
        <v>69</v>
      </c>
      <c r="K53" t="s">
        <v>137</v>
      </c>
      <c r="L53" s="6">
        <v>1</v>
      </c>
      <c r="M53" s="4">
        <v>1</v>
      </c>
      <c r="N53" s="4">
        <f t="shared" si="0"/>
        <v>0</v>
      </c>
      <c r="O53">
        <v>1</v>
      </c>
      <c r="P53">
        <v>1</v>
      </c>
      <c r="Q53">
        <v>1</v>
      </c>
      <c r="R53">
        <v>1</v>
      </c>
      <c r="S53">
        <v>0.24330437199999999</v>
      </c>
      <c r="T53">
        <v>99</v>
      </c>
      <c r="U53">
        <v>0</v>
      </c>
      <c r="V53">
        <v>0</v>
      </c>
      <c r="W53">
        <v>0</v>
      </c>
      <c r="X53">
        <v>0</v>
      </c>
      <c r="Y53">
        <v>0</v>
      </c>
      <c r="Z53">
        <v>0</v>
      </c>
      <c r="AA53">
        <v>0</v>
      </c>
      <c r="AB53">
        <v>0</v>
      </c>
      <c r="AC53">
        <v>0</v>
      </c>
      <c r="AD53">
        <v>0</v>
      </c>
      <c r="AE53">
        <v>0</v>
      </c>
      <c r="AF53">
        <v>0</v>
      </c>
      <c r="AG53">
        <v>0</v>
      </c>
      <c r="AH53">
        <v>0</v>
      </c>
      <c r="AI53">
        <v>0</v>
      </c>
      <c r="AJ53">
        <v>0</v>
      </c>
      <c r="AK53">
        <v>0</v>
      </c>
      <c r="AL53">
        <v>0</v>
      </c>
      <c r="AM53">
        <v>0</v>
      </c>
      <c r="AN53">
        <v>0</v>
      </c>
      <c r="AO53">
        <v>0</v>
      </c>
      <c r="AP53">
        <v>1</v>
      </c>
      <c r="AQ53" t="s">
        <v>38</v>
      </c>
      <c r="AR53">
        <v>51</v>
      </c>
      <c r="AS53">
        <v>72</v>
      </c>
      <c r="AT53">
        <v>274</v>
      </c>
      <c r="AU53">
        <v>0.73722627737226276</v>
      </c>
      <c r="AV53" s="2">
        <v>44759</v>
      </c>
      <c r="AW53">
        <v>5.5555555555555573E-2</v>
      </c>
      <c r="AX53" t="s">
        <v>61</v>
      </c>
      <c r="AY53">
        <v>0.15384615384615391</v>
      </c>
      <c r="AZ53">
        <v>8.1967213114754106E-2</v>
      </c>
      <c r="BA53" t="s">
        <v>69</v>
      </c>
      <c r="BB53" t="s">
        <v>69</v>
      </c>
      <c r="BC53">
        <v>1</v>
      </c>
      <c r="BD53">
        <v>0</v>
      </c>
      <c r="BE53" t="s">
        <v>81</v>
      </c>
      <c r="BF53" t="s">
        <v>62</v>
      </c>
      <c r="BG53" t="s">
        <v>69</v>
      </c>
      <c r="BH53">
        <v>1</v>
      </c>
    </row>
    <row r="54" spans="1:60" x14ac:dyDescent="0.2">
      <c r="A54" t="s">
        <v>136</v>
      </c>
      <c r="B54">
        <v>16227</v>
      </c>
      <c r="C54" s="2">
        <v>44666</v>
      </c>
      <c r="D54" t="s">
        <v>84</v>
      </c>
      <c r="E54">
        <v>2022</v>
      </c>
      <c r="F54">
        <v>4</v>
      </c>
      <c r="G54">
        <v>2</v>
      </c>
      <c r="H54" t="s">
        <v>115</v>
      </c>
      <c r="I54">
        <v>0.13</v>
      </c>
      <c r="J54" t="s">
        <v>69</v>
      </c>
      <c r="K54" t="s">
        <v>138</v>
      </c>
      <c r="L54" s="6">
        <v>1</v>
      </c>
      <c r="M54" s="4">
        <v>1</v>
      </c>
      <c r="N54" s="4">
        <f t="shared" si="0"/>
        <v>0</v>
      </c>
      <c r="O54">
        <v>1</v>
      </c>
      <c r="P54">
        <v>1</v>
      </c>
      <c r="Q54">
        <v>1</v>
      </c>
      <c r="R54">
        <v>7</v>
      </c>
      <c r="S54">
        <v>0.21113115499999999</v>
      </c>
      <c r="T54">
        <v>99</v>
      </c>
      <c r="U54">
        <v>0</v>
      </c>
      <c r="V54">
        <v>0</v>
      </c>
      <c r="W54">
        <v>0</v>
      </c>
      <c r="X54">
        <v>0</v>
      </c>
      <c r="Y54">
        <v>0</v>
      </c>
      <c r="Z54">
        <v>0</v>
      </c>
      <c r="AA54">
        <v>0</v>
      </c>
      <c r="AB54">
        <v>0</v>
      </c>
      <c r="AC54">
        <v>0</v>
      </c>
      <c r="AD54">
        <v>0</v>
      </c>
      <c r="AE54">
        <v>0</v>
      </c>
      <c r="AF54">
        <v>0</v>
      </c>
      <c r="AG54">
        <v>0</v>
      </c>
      <c r="AH54">
        <v>0</v>
      </c>
      <c r="AI54">
        <v>0</v>
      </c>
      <c r="AJ54">
        <v>0</v>
      </c>
      <c r="AK54">
        <v>0</v>
      </c>
      <c r="AL54">
        <v>0</v>
      </c>
      <c r="AM54">
        <v>0</v>
      </c>
      <c r="AN54">
        <v>0</v>
      </c>
      <c r="AO54">
        <v>0</v>
      </c>
      <c r="AP54">
        <v>1</v>
      </c>
      <c r="AQ54" t="s">
        <v>38</v>
      </c>
      <c r="AR54">
        <v>51</v>
      </c>
      <c r="AS54">
        <v>170</v>
      </c>
      <c r="AT54">
        <v>274</v>
      </c>
      <c r="AU54">
        <v>0.37956204379562042</v>
      </c>
      <c r="AV54" s="2">
        <v>44661</v>
      </c>
      <c r="AW54">
        <v>4.5454545454545491E-2</v>
      </c>
      <c r="AX54" t="s">
        <v>61</v>
      </c>
      <c r="AY54">
        <v>0.33333333333333343</v>
      </c>
      <c r="AZ54">
        <v>8.1967213114754106E-2</v>
      </c>
      <c r="BA54" t="s">
        <v>69</v>
      </c>
      <c r="BB54" t="s">
        <v>69</v>
      </c>
      <c r="BC54">
        <v>1</v>
      </c>
      <c r="BD54">
        <v>0</v>
      </c>
      <c r="BE54" t="s">
        <v>81</v>
      </c>
      <c r="BF54" t="s">
        <v>62</v>
      </c>
      <c r="BG54" t="s">
        <v>69</v>
      </c>
      <c r="BH54">
        <v>1</v>
      </c>
    </row>
    <row r="55" spans="1:60" x14ac:dyDescent="0.2">
      <c r="A55" t="s">
        <v>136</v>
      </c>
      <c r="B55">
        <v>16814</v>
      </c>
      <c r="C55" s="2">
        <v>44834</v>
      </c>
      <c r="D55" t="s">
        <v>67</v>
      </c>
      <c r="E55">
        <v>2022</v>
      </c>
      <c r="F55">
        <v>9</v>
      </c>
      <c r="G55">
        <v>3</v>
      </c>
      <c r="H55" t="s">
        <v>139</v>
      </c>
      <c r="I55">
        <v>0.7</v>
      </c>
      <c r="J55" t="s">
        <v>74</v>
      </c>
      <c r="K55" t="s">
        <v>140</v>
      </c>
      <c r="L55" s="6">
        <v>1</v>
      </c>
      <c r="M55" s="4">
        <v>1</v>
      </c>
      <c r="N55" s="4">
        <f t="shared" si="0"/>
        <v>0</v>
      </c>
      <c r="O55">
        <v>1</v>
      </c>
      <c r="P55">
        <v>1</v>
      </c>
      <c r="Q55">
        <v>1</v>
      </c>
      <c r="R55">
        <v>2</v>
      </c>
      <c r="S55">
        <v>0.93307727600000001</v>
      </c>
      <c r="T55">
        <v>2</v>
      </c>
      <c r="U55">
        <v>0</v>
      </c>
      <c r="V55">
        <v>0</v>
      </c>
      <c r="W55">
        <v>1</v>
      </c>
      <c r="X55">
        <v>0</v>
      </c>
      <c r="Y55">
        <v>0</v>
      </c>
      <c r="Z55">
        <v>0</v>
      </c>
      <c r="AA55">
        <v>0</v>
      </c>
      <c r="AB55">
        <v>0</v>
      </c>
      <c r="AC55">
        <v>0</v>
      </c>
      <c r="AD55">
        <v>0</v>
      </c>
      <c r="AE55">
        <v>0</v>
      </c>
      <c r="AF55">
        <v>0</v>
      </c>
      <c r="AG55">
        <v>0</v>
      </c>
      <c r="AH55">
        <v>0</v>
      </c>
      <c r="AI55">
        <v>0</v>
      </c>
      <c r="AJ55">
        <v>0</v>
      </c>
      <c r="AK55">
        <v>0</v>
      </c>
      <c r="AL55">
        <v>0</v>
      </c>
      <c r="AM55">
        <v>0</v>
      </c>
      <c r="AN55">
        <v>0</v>
      </c>
      <c r="AO55">
        <v>0</v>
      </c>
      <c r="AP55">
        <v>0</v>
      </c>
      <c r="AQ55" t="s">
        <v>19</v>
      </c>
      <c r="AR55">
        <v>42</v>
      </c>
      <c r="AS55">
        <v>2</v>
      </c>
      <c r="AT55">
        <v>274</v>
      </c>
      <c r="AU55">
        <v>0.99270072992700731</v>
      </c>
      <c r="AV55" s="2">
        <v>44829</v>
      </c>
      <c r="AW55">
        <v>5.4187192118226632E-2</v>
      </c>
      <c r="AX55" t="s">
        <v>61</v>
      </c>
      <c r="AY55">
        <v>4.5454545454545463E-2</v>
      </c>
      <c r="AZ55">
        <v>1.696832579185524E-2</v>
      </c>
      <c r="BA55" t="s">
        <v>59</v>
      </c>
      <c r="BB55" t="s">
        <v>74</v>
      </c>
      <c r="BC55">
        <v>0</v>
      </c>
      <c r="BD55">
        <v>1</v>
      </c>
      <c r="BE55" t="s">
        <v>66</v>
      </c>
      <c r="BF55" t="s">
        <v>66</v>
      </c>
      <c r="BG55" t="s">
        <v>74</v>
      </c>
      <c r="BH55">
        <v>1</v>
      </c>
    </row>
    <row r="56" spans="1:60" x14ac:dyDescent="0.2">
      <c r="A56" t="s">
        <v>136</v>
      </c>
      <c r="B56">
        <v>15986</v>
      </c>
      <c r="C56" s="2">
        <v>44857</v>
      </c>
      <c r="D56" t="s">
        <v>100</v>
      </c>
      <c r="E56">
        <v>2022</v>
      </c>
      <c r="F56">
        <v>10</v>
      </c>
      <c r="G56">
        <v>4</v>
      </c>
      <c r="H56" t="s">
        <v>115</v>
      </c>
      <c r="I56">
        <v>0.13</v>
      </c>
      <c r="J56" t="s">
        <v>69</v>
      </c>
      <c r="K56" t="s">
        <v>141</v>
      </c>
      <c r="L56" s="6">
        <v>1</v>
      </c>
      <c r="M56" s="4">
        <v>1</v>
      </c>
      <c r="N56" s="4">
        <f t="shared" si="0"/>
        <v>0</v>
      </c>
      <c r="O56">
        <v>1</v>
      </c>
      <c r="P56">
        <v>1</v>
      </c>
      <c r="Q56">
        <v>1</v>
      </c>
      <c r="R56">
        <v>18</v>
      </c>
      <c r="S56">
        <v>0.463161498</v>
      </c>
      <c r="T56">
        <v>99</v>
      </c>
      <c r="U56">
        <v>0</v>
      </c>
      <c r="V56">
        <v>0</v>
      </c>
      <c r="W56">
        <v>0</v>
      </c>
      <c r="X56">
        <v>0</v>
      </c>
      <c r="Y56">
        <v>0</v>
      </c>
      <c r="Z56">
        <v>0</v>
      </c>
      <c r="AA56">
        <v>0</v>
      </c>
      <c r="AB56">
        <v>0</v>
      </c>
      <c r="AC56">
        <v>0</v>
      </c>
      <c r="AD56">
        <v>0</v>
      </c>
      <c r="AE56">
        <v>0</v>
      </c>
      <c r="AF56">
        <v>0</v>
      </c>
      <c r="AG56">
        <v>0</v>
      </c>
      <c r="AH56">
        <v>0</v>
      </c>
      <c r="AI56">
        <v>0</v>
      </c>
      <c r="AJ56">
        <v>0</v>
      </c>
      <c r="AK56">
        <v>0</v>
      </c>
      <c r="AL56">
        <v>0</v>
      </c>
      <c r="AM56">
        <v>0</v>
      </c>
      <c r="AN56">
        <v>0</v>
      </c>
      <c r="AO56">
        <v>0</v>
      </c>
      <c r="AP56">
        <v>1</v>
      </c>
      <c r="AQ56" t="s">
        <v>38</v>
      </c>
      <c r="AR56">
        <v>45</v>
      </c>
      <c r="AT56">
        <v>274</v>
      </c>
      <c r="AV56" s="2">
        <v>44857</v>
      </c>
      <c r="AW56">
        <v>6.1696658097686437E-2</v>
      </c>
      <c r="AX56" t="s">
        <v>61</v>
      </c>
      <c r="AY56">
        <v>0.36363636363636359</v>
      </c>
      <c r="AZ56">
        <v>8.1967213114754106E-2</v>
      </c>
      <c r="BA56" t="s">
        <v>69</v>
      </c>
      <c r="BB56" t="s">
        <v>69</v>
      </c>
      <c r="BC56">
        <v>1</v>
      </c>
      <c r="BD56">
        <v>0</v>
      </c>
      <c r="BE56" t="s">
        <v>66</v>
      </c>
      <c r="BF56" t="s">
        <v>66</v>
      </c>
      <c r="BG56" t="s">
        <v>69</v>
      </c>
      <c r="BH56">
        <v>1</v>
      </c>
    </row>
    <row r="57" spans="1:60" x14ac:dyDescent="0.2">
      <c r="A57" t="s">
        <v>136</v>
      </c>
      <c r="B57">
        <v>23465</v>
      </c>
      <c r="C57" s="2">
        <v>44813</v>
      </c>
      <c r="D57" t="s">
        <v>67</v>
      </c>
      <c r="E57">
        <v>2022</v>
      </c>
      <c r="F57">
        <v>9</v>
      </c>
      <c r="G57">
        <v>3</v>
      </c>
      <c r="H57" t="s">
        <v>82</v>
      </c>
      <c r="I57">
        <v>0.05</v>
      </c>
      <c r="J57" t="s">
        <v>69</v>
      </c>
      <c r="K57" t="s">
        <v>142</v>
      </c>
      <c r="L57" s="6">
        <v>1</v>
      </c>
      <c r="M57" s="4">
        <v>1</v>
      </c>
      <c r="N57" s="4">
        <f t="shared" si="0"/>
        <v>0</v>
      </c>
      <c r="O57">
        <v>1</v>
      </c>
      <c r="P57">
        <v>1</v>
      </c>
      <c r="Q57">
        <v>1</v>
      </c>
      <c r="R57">
        <v>11</v>
      </c>
      <c r="S57">
        <v>0.32183367000000002</v>
      </c>
      <c r="T57">
        <v>99</v>
      </c>
      <c r="U57">
        <v>0</v>
      </c>
      <c r="V57">
        <v>0</v>
      </c>
      <c r="W57">
        <v>0</v>
      </c>
      <c r="X57">
        <v>0</v>
      </c>
      <c r="Y57">
        <v>0</v>
      </c>
      <c r="Z57">
        <v>0</v>
      </c>
      <c r="AA57">
        <v>0</v>
      </c>
      <c r="AB57">
        <v>0</v>
      </c>
      <c r="AC57">
        <v>0</v>
      </c>
      <c r="AD57">
        <v>0</v>
      </c>
      <c r="AE57">
        <v>0</v>
      </c>
      <c r="AF57">
        <v>0</v>
      </c>
      <c r="AG57">
        <v>0</v>
      </c>
      <c r="AH57">
        <v>0</v>
      </c>
      <c r="AI57">
        <v>0</v>
      </c>
      <c r="AJ57">
        <v>0</v>
      </c>
      <c r="AK57">
        <v>0</v>
      </c>
      <c r="AL57">
        <v>0</v>
      </c>
      <c r="AM57">
        <v>0</v>
      </c>
      <c r="AN57">
        <v>0</v>
      </c>
      <c r="AO57">
        <v>0</v>
      </c>
      <c r="AP57">
        <v>1</v>
      </c>
      <c r="AQ57" t="s">
        <v>38</v>
      </c>
      <c r="AR57">
        <v>34</v>
      </c>
      <c r="AS57">
        <v>23</v>
      </c>
      <c r="AT57">
        <v>274</v>
      </c>
      <c r="AU57">
        <v>0.91605839416058399</v>
      </c>
      <c r="AV57" s="2">
        <v>44808</v>
      </c>
      <c r="AW57">
        <v>5.8479532163742763E-2</v>
      </c>
      <c r="AX57" t="s">
        <v>61</v>
      </c>
      <c r="AY57">
        <v>0.1475409836065574</v>
      </c>
      <c r="AZ57">
        <v>0.1647727272727274</v>
      </c>
      <c r="BA57" t="s">
        <v>69</v>
      </c>
      <c r="BB57" t="s">
        <v>69</v>
      </c>
      <c r="BC57">
        <v>1</v>
      </c>
      <c r="BD57">
        <v>0</v>
      </c>
      <c r="BE57" t="s">
        <v>66</v>
      </c>
      <c r="BF57" t="s">
        <v>66</v>
      </c>
      <c r="BG57" t="s">
        <v>69</v>
      </c>
      <c r="BH57">
        <v>1</v>
      </c>
    </row>
    <row r="58" spans="1:60" x14ac:dyDescent="0.2">
      <c r="A58" t="s">
        <v>136</v>
      </c>
      <c r="B58">
        <v>19410</v>
      </c>
      <c r="C58" s="2">
        <v>44777</v>
      </c>
      <c r="D58" t="s">
        <v>63</v>
      </c>
      <c r="E58">
        <v>2022</v>
      </c>
      <c r="F58">
        <v>8</v>
      </c>
      <c r="G58">
        <v>3</v>
      </c>
      <c r="H58" t="s">
        <v>58</v>
      </c>
      <c r="I58">
        <v>0.81</v>
      </c>
      <c r="J58" t="s">
        <v>59</v>
      </c>
      <c r="K58" t="s">
        <v>143</v>
      </c>
      <c r="L58" s="6">
        <v>1</v>
      </c>
      <c r="M58" s="4">
        <v>1</v>
      </c>
      <c r="N58" s="4">
        <f t="shared" si="0"/>
        <v>0</v>
      </c>
      <c r="O58">
        <v>1</v>
      </c>
      <c r="P58">
        <v>1</v>
      </c>
      <c r="Q58">
        <v>1</v>
      </c>
      <c r="R58">
        <v>13</v>
      </c>
      <c r="S58">
        <v>0.35071355100000001</v>
      </c>
      <c r="T58">
        <v>99</v>
      </c>
      <c r="U58">
        <v>0</v>
      </c>
      <c r="V58">
        <v>0</v>
      </c>
      <c r="W58">
        <v>0</v>
      </c>
      <c r="X58">
        <v>0</v>
      </c>
      <c r="Y58">
        <v>0</v>
      </c>
      <c r="Z58">
        <v>0</v>
      </c>
      <c r="AA58">
        <v>0</v>
      </c>
      <c r="AB58">
        <v>0</v>
      </c>
      <c r="AC58">
        <v>0</v>
      </c>
      <c r="AD58">
        <v>0</v>
      </c>
      <c r="AE58">
        <v>0</v>
      </c>
      <c r="AF58">
        <v>0</v>
      </c>
      <c r="AG58">
        <v>0</v>
      </c>
      <c r="AH58">
        <v>0</v>
      </c>
      <c r="AI58">
        <v>0</v>
      </c>
      <c r="AJ58">
        <v>0</v>
      </c>
      <c r="AK58">
        <v>0</v>
      </c>
      <c r="AL58">
        <v>0</v>
      </c>
      <c r="AM58">
        <v>0</v>
      </c>
      <c r="AN58">
        <v>0</v>
      </c>
      <c r="AO58">
        <v>0</v>
      </c>
      <c r="AP58">
        <v>1</v>
      </c>
      <c r="AQ58" t="s">
        <v>38</v>
      </c>
      <c r="AR58">
        <v>28</v>
      </c>
      <c r="AS58">
        <v>59</v>
      </c>
      <c r="AT58">
        <v>274</v>
      </c>
      <c r="AU58">
        <v>0.78467153284671531</v>
      </c>
      <c r="AV58" s="2">
        <v>44773</v>
      </c>
      <c r="AW58">
        <v>3.4999999999999983E-2</v>
      </c>
      <c r="AX58" t="s">
        <v>61</v>
      </c>
      <c r="AY58">
        <v>4.7619047619047623E-2</v>
      </c>
      <c r="AZ58">
        <v>8.8262910798122124E-2</v>
      </c>
      <c r="BA58" t="s">
        <v>59</v>
      </c>
      <c r="BB58" t="s">
        <v>59</v>
      </c>
      <c r="BC58">
        <v>0</v>
      </c>
      <c r="BD58">
        <v>0</v>
      </c>
      <c r="BE58" t="s">
        <v>81</v>
      </c>
      <c r="BF58" t="s">
        <v>62</v>
      </c>
      <c r="BG58" t="s">
        <v>59</v>
      </c>
      <c r="BH58">
        <v>1</v>
      </c>
    </row>
    <row r="59" spans="1:60" x14ac:dyDescent="0.2">
      <c r="A59" t="s">
        <v>136</v>
      </c>
      <c r="B59">
        <v>19327</v>
      </c>
      <c r="C59" s="2">
        <v>44797</v>
      </c>
      <c r="D59" t="s">
        <v>63</v>
      </c>
      <c r="E59">
        <v>2022</v>
      </c>
      <c r="F59">
        <v>8</v>
      </c>
      <c r="G59">
        <v>3</v>
      </c>
      <c r="H59" t="s">
        <v>58</v>
      </c>
      <c r="I59">
        <v>0.81</v>
      </c>
      <c r="J59" t="s">
        <v>59</v>
      </c>
      <c r="K59" t="s">
        <v>144</v>
      </c>
      <c r="L59" s="6">
        <v>1</v>
      </c>
      <c r="M59" s="4">
        <v>1</v>
      </c>
      <c r="N59" s="4">
        <f t="shared" si="0"/>
        <v>0</v>
      </c>
      <c r="O59">
        <v>1</v>
      </c>
      <c r="P59">
        <v>1</v>
      </c>
      <c r="Q59">
        <v>1</v>
      </c>
      <c r="R59">
        <v>13</v>
      </c>
      <c r="S59">
        <v>0.33171525600000001</v>
      </c>
      <c r="T59">
        <v>99</v>
      </c>
      <c r="U59">
        <v>0</v>
      </c>
      <c r="V59">
        <v>0</v>
      </c>
      <c r="W59">
        <v>0</v>
      </c>
      <c r="X59">
        <v>0</v>
      </c>
      <c r="Y59">
        <v>0</v>
      </c>
      <c r="Z59">
        <v>0</v>
      </c>
      <c r="AA59">
        <v>0</v>
      </c>
      <c r="AB59">
        <v>0</v>
      </c>
      <c r="AC59">
        <v>0</v>
      </c>
      <c r="AD59">
        <v>0</v>
      </c>
      <c r="AE59">
        <v>0</v>
      </c>
      <c r="AF59">
        <v>0</v>
      </c>
      <c r="AG59">
        <v>0</v>
      </c>
      <c r="AH59">
        <v>0</v>
      </c>
      <c r="AI59">
        <v>0</v>
      </c>
      <c r="AJ59">
        <v>0</v>
      </c>
      <c r="AK59">
        <v>0</v>
      </c>
      <c r="AL59">
        <v>0</v>
      </c>
      <c r="AM59">
        <v>0</v>
      </c>
      <c r="AN59">
        <v>0</v>
      </c>
      <c r="AO59">
        <v>0</v>
      </c>
      <c r="AP59">
        <v>1</v>
      </c>
      <c r="AQ59" t="s">
        <v>38</v>
      </c>
      <c r="AR59">
        <v>36</v>
      </c>
      <c r="AS59">
        <v>39</v>
      </c>
      <c r="AT59">
        <v>274</v>
      </c>
      <c r="AU59">
        <v>0.85766423357664234</v>
      </c>
      <c r="AV59" s="2">
        <v>44794</v>
      </c>
      <c r="AW59">
        <v>5.3830227743271238E-2</v>
      </c>
      <c r="AX59" t="s">
        <v>61</v>
      </c>
      <c r="AY59">
        <v>0.15094339622641509</v>
      </c>
      <c r="AZ59">
        <v>8.8262910798122124E-2</v>
      </c>
      <c r="BA59" t="s">
        <v>59</v>
      </c>
      <c r="BB59" t="s">
        <v>59</v>
      </c>
      <c r="BC59">
        <v>0</v>
      </c>
      <c r="BD59">
        <v>0</v>
      </c>
      <c r="BE59" t="s">
        <v>66</v>
      </c>
      <c r="BF59" t="s">
        <v>66</v>
      </c>
      <c r="BG59" t="s">
        <v>59</v>
      </c>
      <c r="BH59">
        <v>1</v>
      </c>
    </row>
    <row r="60" spans="1:60" x14ac:dyDescent="0.2">
      <c r="A60" t="s">
        <v>136</v>
      </c>
      <c r="B60">
        <v>23589</v>
      </c>
      <c r="C60" s="2">
        <v>44802</v>
      </c>
      <c r="D60" t="s">
        <v>63</v>
      </c>
      <c r="E60">
        <v>2022</v>
      </c>
      <c r="F60">
        <v>8</v>
      </c>
      <c r="G60">
        <v>3</v>
      </c>
      <c r="H60" t="s">
        <v>82</v>
      </c>
      <c r="I60">
        <v>0.05</v>
      </c>
      <c r="J60" t="s">
        <v>69</v>
      </c>
      <c r="K60" t="s">
        <v>145</v>
      </c>
      <c r="L60" s="6">
        <v>1</v>
      </c>
      <c r="M60" s="4">
        <v>1</v>
      </c>
      <c r="N60" s="4">
        <f t="shared" si="0"/>
        <v>0</v>
      </c>
      <c r="O60">
        <v>1</v>
      </c>
      <c r="P60">
        <v>1</v>
      </c>
      <c r="Q60">
        <v>1</v>
      </c>
      <c r="R60">
        <v>3</v>
      </c>
      <c r="S60">
        <v>0.81961011900000003</v>
      </c>
      <c r="T60">
        <v>3</v>
      </c>
      <c r="U60">
        <v>0</v>
      </c>
      <c r="V60">
        <v>0</v>
      </c>
      <c r="W60">
        <v>0</v>
      </c>
      <c r="X60">
        <v>1</v>
      </c>
      <c r="Y60">
        <v>0</v>
      </c>
      <c r="Z60">
        <v>0</v>
      </c>
      <c r="AA60">
        <v>0</v>
      </c>
      <c r="AB60">
        <v>0</v>
      </c>
      <c r="AC60">
        <v>0</v>
      </c>
      <c r="AD60">
        <v>0</v>
      </c>
      <c r="AE60">
        <v>0</v>
      </c>
      <c r="AF60">
        <v>0</v>
      </c>
      <c r="AG60">
        <v>0</v>
      </c>
      <c r="AH60">
        <v>0</v>
      </c>
      <c r="AI60">
        <v>0</v>
      </c>
      <c r="AJ60">
        <v>0</v>
      </c>
      <c r="AK60">
        <v>0</v>
      </c>
      <c r="AL60">
        <v>0</v>
      </c>
      <c r="AM60">
        <v>0</v>
      </c>
      <c r="AN60">
        <v>0</v>
      </c>
      <c r="AO60">
        <v>0</v>
      </c>
      <c r="AP60">
        <v>0</v>
      </c>
      <c r="AQ60" t="s">
        <v>20</v>
      </c>
      <c r="AR60">
        <v>39</v>
      </c>
      <c r="AS60">
        <v>34</v>
      </c>
      <c r="AT60">
        <v>274</v>
      </c>
      <c r="AU60">
        <v>0.87591240875912413</v>
      </c>
      <c r="AV60" s="2">
        <v>44801</v>
      </c>
      <c r="AW60">
        <v>4.031007751937974E-2</v>
      </c>
      <c r="AX60" t="s">
        <v>61</v>
      </c>
      <c r="AY60">
        <v>0.17333333333333331</v>
      </c>
      <c r="AZ60">
        <v>0.1647727272727274</v>
      </c>
      <c r="BA60" t="s">
        <v>69</v>
      </c>
      <c r="BB60" t="s">
        <v>69</v>
      </c>
      <c r="BC60">
        <v>1</v>
      </c>
      <c r="BD60">
        <v>0</v>
      </c>
      <c r="BE60" t="s">
        <v>66</v>
      </c>
      <c r="BF60" t="s">
        <v>66</v>
      </c>
      <c r="BG60" t="s">
        <v>69</v>
      </c>
      <c r="BH60">
        <v>1</v>
      </c>
    </row>
    <row r="61" spans="1:60" x14ac:dyDescent="0.2">
      <c r="A61" t="s">
        <v>136</v>
      </c>
      <c r="B61">
        <v>10873</v>
      </c>
      <c r="C61" s="2">
        <v>44789</v>
      </c>
      <c r="D61" t="s">
        <v>63</v>
      </c>
      <c r="E61">
        <v>2022</v>
      </c>
      <c r="F61">
        <v>8</v>
      </c>
      <c r="G61">
        <v>3</v>
      </c>
      <c r="H61" t="s">
        <v>73</v>
      </c>
      <c r="I61">
        <v>0.39</v>
      </c>
      <c r="J61" t="s">
        <v>74</v>
      </c>
      <c r="K61" t="s">
        <v>146</v>
      </c>
      <c r="L61" s="6">
        <v>1</v>
      </c>
      <c r="M61" s="4">
        <v>1</v>
      </c>
      <c r="N61" s="4">
        <f t="shared" si="0"/>
        <v>0</v>
      </c>
      <c r="O61">
        <v>1</v>
      </c>
      <c r="P61">
        <v>1</v>
      </c>
      <c r="Q61">
        <v>1</v>
      </c>
      <c r="R61">
        <v>18</v>
      </c>
      <c r="S61">
        <v>0.35265666200000001</v>
      </c>
      <c r="T61">
        <v>99</v>
      </c>
      <c r="U61">
        <v>0</v>
      </c>
      <c r="V61">
        <v>0</v>
      </c>
      <c r="W61">
        <v>0</v>
      </c>
      <c r="X61">
        <v>0</v>
      </c>
      <c r="Y61">
        <v>0</v>
      </c>
      <c r="Z61">
        <v>0</v>
      </c>
      <c r="AA61">
        <v>0</v>
      </c>
      <c r="AB61">
        <v>0</v>
      </c>
      <c r="AC61">
        <v>0</v>
      </c>
      <c r="AD61">
        <v>0</v>
      </c>
      <c r="AE61">
        <v>0</v>
      </c>
      <c r="AF61">
        <v>0</v>
      </c>
      <c r="AG61">
        <v>0</v>
      </c>
      <c r="AH61">
        <v>0</v>
      </c>
      <c r="AI61">
        <v>0</v>
      </c>
      <c r="AJ61">
        <v>0</v>
      </c>
      <c r="AK61">
        <v>0</v>
      </c>
      <c r="AL61">
        <v>0</v>
      </c>
      <c r="AM61">
        <v>0</v>
      </c>
      <c r="AN61">
        <v>0</v>
      </c>
      <c r="AO61">
        <v>0</v>
      </c>
      <c r="AP61">
        <v>1</v>
      </c>
      <c r="AQ61" t="s">
        <v>38</v>
      </c>
      <c r="AR61">
        <v>45</v>
      </c>
      <c r="AS61">
        <v>47</v>
      </c>
      <c r="AT61">
        <v>274</v>
      </c>
      <c r="AU61">
        <v>0.82846715328467158</v>
      </c>
      <c r="AV61" s="2">
        <v>44787</v>
      </c>
      <c r="AW61">
        <v>5.9800664451827232E-2</v>
      </c>
      <c r="AX61" t="s">
        <v>61</v>
      </c>
      <c r="AY61">
        <v>7.0175438596491224E-2</v>
      </c>
      <c r="AZ61">
        <v>5.7251908396946792E-2</v>
      </c>
      <c r="BA61" t="s">
        <v>69</v>
      </c>
      <c r="BB61" t="s">
        <v>69</v>
      </c>
      <c r="BC61">
        <v>1</v>
      </c>
      <c r="BD61">
        <v>0</v>
      </c>
      <c r="BE61" t="s">
        <v>66</v>
      </c>
      <c r="BF61" t="s">
        <v>66</v>
      </c>
      <c r="BG61" t="s">
        <v>69</v>
      </c>
      <c r="BH61">
        <v>1</v>
      </c>
    </row>
    <row r="62" spans="1:60" x14ac:dyDescent="0.2">
      <c r="A62" t="s">
        <v>136</v>
      </c>
      <c r="B62">
        <v>6889</v>
      </c>
      <c r="C62" s="2">
        <v>44749</v>
      </c>
      <c r="D62" t="s">
        <v>90</v>
      </c>
      <c r="E62">
        <v>2022</v>
      </c>
      <c r="F62">
        <v>7</v>
      </c>
      <c r="G62">
        <v>3</v>
      </c>
      <c r="H62" t="s">
        <v>79</v>
      </c>
      <c r="I62">
        <v>0.3</v>
      </c>
      <c r="J62" t="s">
        <v>69</v>
      </c>
      <c r="K62" t="s">
        <v>147</v>
      </c>
      <c r="L62" s="6">
        <v>1</v>
      </c>
      <c r="M62" s="4">
        <v>1</v>
      </c>
      <c r="N62" s="4">
        <f t="shared" si="0"/>
        <v>0</v>
      </c>
      <c r="O62">
        <v>1</v>
      </c>
      <c r="P62">
        <v>1</v>
      </c>
      <c r="Q62">
        <v>1</v>
      </c>
      <c r="R62">
        <v>18</v>
      </c>
      <c r="S62">
        <v>0.45127972999999999</v>
      </c>
      <c r="T62">
        <v>99</v>
      </c>
      <c r="U62">
        <v>0</v>
      </c>
      <c r="V62">
        <v>0</v>
      </c>
      <c r="W62">
        <v>0</v>
      </c>
      <c r="X62">
        <v>0</v>
      </c>
      <c r="Y62">
        <v>0</v>
      </c>
      <c r="Z62">
        <v>0</v>
      </c>
      <c r="AA62">
        <v>0</v>
      </c>
      <c r="AB62">
        <v>0</v>
      </c>
      <c r="AC62">
        <v>0</v>
      </c>
      <c r="AD62">
        <v>0</v>
      </c>
      <c r="AE62">
        <v>0</v>
      </c>
      <c r="AF62">
        <v>0</v>
      </c>
      <c r="AG62">
        <v>0</v>
      </c>
      <c r="AH62">
        <v>0</v>
      </c>
      <c r="AI62">
        <v>0</v>
      </c>
      <c r="AJ62">
        <v>0</v>
      </c>
      <c r="AK62">
        <v>0</v>
      </c>
      <c r="AL62">
        <v>0</v>
      </c>
      <c r="AM62">
        <v>0</v>
      </c>
      <c r="AN62">
        <v>0</v>
      </c>
      <c r="AO62">
        <v>0</v>
      </c>
      <c r="AP62">
        <v>1</v>
      </c>
      <c r="AQ62" t="s">
        <v>38</v>
      </c>
      <c r="AR62">
        <v>39</v>
      </c>
      <c r="AS62">
        <v>87</v>
      </c>
      <c r="AT62">
        <v>274</v>
      </c>
      <c r="AU62">
        <v>0.68248175182481752</v>
      </c>
      <c r="AV62" s="2">
        <v>44745</v>
      </c>
      <c r="AW62">
        <v>5.2863436123348047E-2</v>
      </c>
      <c r="AX62" t="s">
        <v>61</v>
      </c>
      <c r="AY62">
        <v>9.3023255813953487E-2</v>
      </c>
      <c r="AZ62">
        <v>1.714285714285704E-2</v>
      </c>
      <c r="BA62" t="s">
        <v>69</v>
      </c>
      <c r="BB62" t="s">
        <v>69</v>
      </c>
      <c r="BC62">
        <v>1</v>
      </c>
      <c r="BD62">
        <v>0</v>
      </c>
      <c r="BE62" t="s">
        <v>81</v>
      </c>
      <c r="BF62" t="s">
        <v>62</v>
      </c>
      <c r="BG62" t="s">
        <v>69</v>
      </c>
      <c r="BH62">
        <v>1</v>
      </c>
    </row>
    <row r="63" spans="1:60" x14ac:dyDescent="0.2">
      <c r="A63" t="s">
        <v>136</v>
      </c>
      <c r="B63">
        <v>10950</v>
      </c>
      <c r="C63" s="2">
        <v>44777</v>
      </c>
      <c r="D63" t="s">
        <v>63</v>
      </c>
      <c r="E63">
        <v>2022</v>
      </c>
      <c r="F63">
        <v>8</v>
      </c>
      <c r="G63">
        <v>3</v>
      </c>
      <c r="H63" t="s">
        <v>73</v>
      </c>
      <c r="I63">
        <v>0.39</v>
      </c>
      <c r="J63" t="s">
        <v>74</v>
      </c>
      <c r="K63" t="s">
        <v>148</v>
      </c>
      <c r="L63" s="6">
        <v>1</v>
      </c>
      <c r="M63" s="4">
        <v>1</v>
      </c>
      <c r="N63" s="4">
        <f t="shared" si="0"/>
        <v>0</v>
      </c>
      <c r="O63">
        <v>1</v>
      </c>
      <c r="P63">
        <v>1</v>
      </c>
      <c r="Q63">
        <v>1</v>
      </c>
      <c r="R63">
        <v>0</v>
      </c>
      <c r="S63">
        <v>0.96667462599999998</v>
      </c>
      <c r="T63">
        <v>0</v>
      </c>
      <c r="U63">
        <v>1</v>
      </c>
      <c r="V63">
        <v>0</v>
      </c>
      <c r="W63">
        <v>0</v>
      </c>
      <c r="X63">
        <v>0</v>
      </c>
      <c r="Y63">
        <v>0</v>
      </c>
      <c r="Z63">
        <v>0</v>
      </c>
      <c r="AA63">
        <v>0</v>
      </c>
      <c r="AB63">
        <v>0</v>
      </c>
      <c r="AC63">
        <v>0</v>
      </c>
      <c r="AD63">
        <v>0</v>
      </c>
      <c r="AE63">
        <v>0</v>
      </c>
      <c r="AF63">
        <v>0</v>
      </c>
      <c r="AG63">
        <v>0</v>
      </c>
      <c r="AH63">
        <v>0</v>
      </c>
      <c r="AI63">
        <v>0</v>
      </c>
      <c r="AJ63">
        <v>0</v>
      </c>
      <c r="AK63">
        <v>0</v>
      </c>
      <c r="AL63">
        <v>0</v>
      </c>
      <c r="AM63">
        <v>0</v>
      </c>
      <c r="AN63">
        <v>0</v>
      </c>
      <c r="AO63">
        <v>0</v>
      </c>
      <c r="AP63">
        <v>0</v>
      </c>
      <c r="AQ63" t="s">
        <v>17</v>
      </c>
      <c r="AR63">
        <v>40</v>
      </c>
      <c r="AS63">
        <v>59</v>
      </c>
      <c r="AT63">
        <v>274</v>
      </c>
      <c r="AU63">
        <v>0.78467153284671531</v>
      </c>
      <c r="AV63" s="2">
        <v>44773</v>
      </c>
      <c r="AW63">
        <v>3.4999999999999983E-2</v>
      </c>
      <c r="AX63" t="s">
        <v>61</v>
      </c>
      <c r="AY63">
        <v>0.108695652173913</v>
      </c>
      <c r="AZ63">
        <v>5.7251908396946792E-2</v>
      </c>
      <c r="BA63" t="s">
        <v>69</v>
      </c>
      <c r="BB63" t="s">
        <v>69</v>
      </c>
      <c r="BC63">
        <v>1</v>
      </c>
      <c r="BD63">
        <v>0</v>
      </c>
      <c r="BE63" t="s">
        <v>81</v>
      </c>
      <c r="BF63" t="s">
        <v>62</v>
      </c>
      <c r="BG63" t="s">
        <v>69</v>
      </c>
      <c r="BH63">
        <v>1</v>
      </c>
    </row>
    <row r="64" spans="1:60" x14ac:dyDescent="0.2">
      <c r="A64" t="s">
        <v>136</v>
      </c>
      <c r="B64">
        <v>23848</v>
      </c>
      <c r="C64" s="2">
        <v>44633</v>
      </c>
      <c r="D64" t="s">
        <v>71</v>
      </c>
      <c r="E64">
        <v>2022</v>
      </c>
      <c r="F64">
        <v>3</v>
      </c>
      <c r="G64">
        <v>1</v>
      </c>
      <c r="H64" t="s">
        <v>82</v>
      </c>
      <c r="I64">
        <v>0.05</v>
      </c>
      <c r="J64" t="s">
        <v>69</v>
      </c>
      <c r="K64" t="s">
        <v>149</v>
      </c>
      <c r="L64" s="6">
        <v>1</v>
      </c>
      <c r="M64" s="4">
        <v>1</v>
      </c>
      <c r="N64" s="4">
        <f t="shared" si="0"/>
        <v>0</v>
      </c>
      <c r="O64">
        <v>1</v>
      </c>
      <c r="P64">
        <v>1</v>
      </c>
      <c r="Q64">
        <v>1</v>
      </c>
      <c r="R64">
        <v>17</v>
      </c>
      <c r="S64">
        <v>0.62027233800000003</v>
      </c>
      <c r="T64">
        <v>17</v>
      </c>
      <c r="U64">
        <v>0</v>
      </c>
      <c r="V64">
        <v>0</v>
      </c>
      <c r="W64">
        <v>0</v>
      </c>
      <c r="X64">
        <v>0</v>
      </c>
      <c r="Y64">
        <v>0</v>
      </c>
      <c r="Z64">
        <v>0</v>
      </c>
      <c r="AA64">
        <v>0</v>
      </c>
      <c r="AB64">
        <v>0</v>
      </c>
      <c r="AC64">
        <v>0</v>
      </c>
      <c r="AD64">
        <v>0</v>
      </c>
      <c r="AE64">
        <v>0</v>
      </c>
      <c r="AF64">
        <v>0</v>
      </c>
      <c r="AG64">
        <v>0</v>
      </c>
      <c r="AH64">
        <v>0</v>
      </c>
      <c r="AI64">
        <v>0</v>
      </c>
      <c r="AJ64">
        <v>0</v>
      </c>
      <c r="AK64">
        <v>0</v>
      </c>
      <c r="AL64">
        <v>1</v>
      </c>
      <c r="AM64">
        <v>0</v>
      </c>
      <c r="AN64">
        <v>0</v>
      </c>
      <c r="AO64">
        <v>0</v>
      </c>
      <c r="AP64">
        <v>0</v>
      </c>
      <c r="AQ64" t="s">
        <v>34</v>
      </c>
      <c r="AR64">
        <v>48</v>
      </c>
      <c r="AS64">
        <v>203</v>
      </c>
      <c r="AT64">
        <v>274</v>
      </c>
      <c r="AU64">
        <v>0.25912408759124089</v>
      </c>
      <c r="AV64" s="2">
        <v>44633</v>
      </c>
      <c r="AW64">
        <v>8.9108910891089049E-2</v>
      </c>
      <c r="AX64" t="s">
        <v>61</v>
      </c>
      <c r="AY64">
        <v>0.19565217391304349</v>
      </c>
      <c r="AZ64">
        <v>0.1647727272727274</v>
      </c>
      <c r="BA64" t="s">
        <v>69</v>
      </c>
      <c r="BB64" t="s">
        <v>69</v>
      </c>
      <c r="BC64">
        <v>1</v>
      </c>
      <c r="BD64">
        <v>0</v>
      </c>
      <c r="BE64" t="s">
        <v>62</v>
      </c>
      <c r="BF64" t="s">
        <v>62</v>
      </c>
      <c r="BG64" t="s">
        <v>69</v>
      </c>
      <c r="BH64">
        <v>1</v>
      </c>
    </row>
    <row r="65" spans="1:60" x14ac:dyDescent="0.2">
      <c r="A65" t="s">
        <v>136</v>
      </c>
      <c r="B65">
        <v>19324</v>
      </c>
      <c r="C65" s="2">
        <v>44797</v>
      </c>
      <c r="D65" t="s">
        <v>63</v>
      </c>
      <c r="E65">
        <v>2022</v>
      </c>
      <c r="F65">
        <v>8</v>
      </c>
      <c r="G65">
        <v>3</v>
      </c>
      <c r="H65" t="s">
        <v>58</v>
      </c>
      <c r="I65">
        <v>0.81</v>
      </c>
      <c r="J65" t="s">
        <v>59</v>
      </c>
      <c r="K65" t="s">
        <v>150</v>
      </c>
      <c r="L65" s="6">
        <v>1</v>
      </c>
      <c r="M65" s="4">
        <v>1</v>
      </c>
      <c r="N65" s="4">
        <f t="shared" si="0"/>
        <v>0</v>
      </c>
      <c r="O65">
        <v>1</v>
      </c>
      <c r="P65">
        <v>1</v>
      </c>
      <c r="Q65">
        <v>1</v>
      </c>
      <c r="R65">
        <v>18</v>
      </c>
      <c r="S65">
        <v>0.38447347300000001</v>
      </c>
      <c r="T65">
        <v>99</v>
      </c>
      <c r="U65">
        <v>0</v>
      </c>
      <c r="V65">
        <v>0</v>
      </c>
      <c r="W65">
        <v>0</v>
      </c>
      <c r="X65">
        <v>0</v>
      </c>
      <c r="Y65">
        <v>0</v>
      </c>
      <c r="Z65">
        <v>0</v>
      </c>
      <c r="AA65">
        <v>0</v>
      </c>
      <c r="AB65">
        <v>0</v>
      </c>
      <c r="AC65">
        <v>0</v>
      </c>
      <c r="AD65">
        <v>0</v>
      </c>
      <c r="AE65">
        <v>0</v>
      </c>
      <c r="AF65">
        <v>0</v>
      </c>
      <c r="AG65">
        <v>0</v>
      </c>
      <c r="AH65">
        <v>0</v>
      </c>
      <c r="AI65">
        <v>0</v>
      </c>
      <c r="AJ65">
        <v>0</v>
      </c>
      <c r="AK65">
        <v>0</v>
      </c>
      <c r="AL65">
        <v>0</v>
      </c>
      <c r="AM65">
        <v>0</v>
      </c>
      <c r="AN65">
        <v>0</v>
      </c>
      <c r="AO65">
        <v>0</v>
      </c>
      <c r="AP65">
        <v>1</v>
      </c>
      <c r="AQ65" t="s">
        <v>38</v>
      </c>
      <c r="AR65">
        <v>49</v>
      </c>
      <c r="AS65">
        <v>39</v>
      </c>
      <c r="AT65">
        <v>274</v>
      </c>
      <c r="AU65">
        <v>0.85766423357664234</v>
      </c>
      <c r="AV65" s="2">
        <v>44794</v>
      </c>
      <c r="AW65">
        <v>5.3830227743271238E-2</v>
      </c>
      <c r="AX65" t="s">
        <v>61</v>
      </c>
      <c r="AY65">
        <v>0.15094339622641509</v>
      </c>
      <c r="AZ65">
        <v>8.8262910798122124E-2</v>
      </c>
      <c r="BA65" t="s">
        <v>59</v>
      </c>
      <c r="BB65" t="s">
        <v>59</v>
      </c>
      <c r="BC65">
        <v>0</v>
      </c>
      <c r="BD65">
        <v>0</v>
      </c>
      <c r="BE65" t="s">
        <v>66</v>
      </c>
      <c r="BF65" t="s">
        <v>66</v>
      </c>
      <c r="BG65" t="s">
        <v>59</v>
      </c>
      <c r="BH65">
        <v>1</v>
      </c>
    </row>
    <row r="66" spans="1:60" x14ac:dyDescent="0.2">
      <c r="A66" t="s">
        <v>136</v>
      </c>
      <c r="B66">
        <v>15977</v>
      </c>
      <c r="C66" s="2">
        <v>44863</v>
      </c>
      <c r="D66" t="s">
        <v>100</v>
      </c>
      <c r="E66">
        <v>2022</v>
      </c>
      <c r="F66">
        <v>10</v>
      </c>
      <c r="G66">
        <v>4</v>
      </c>
      <c r="H66" t="s">
        <v>115</v>
      </c>
      <c r="I66">
        <v>0.13</v>
      </c>
      <c r="J66" t="s">
        <v>69</v>
      </c>
      <c r="K66" t="s">
        <v>151</v>
      </c>
      <c r="L66" s="6">
        <v>1</v>
      </c>
      <c r="M66" s="4">
        <v>1</v>
      </c>
      <c r="N66" s="4">
        <f t="shared" si="0"/>
        <v>0</v>
      </c>
      <c r="O66">
        <v>1</v>
      </c>
      <c r="P66">
        <v>1</v>
      </c>
      <c r="Q66">
        <v>1</v>
      </c>
      <c r="R66">
        <v>2</v>
      </c>
      <c r="S66">
        <v>0.59026461799999996</v>
      </c>
      <c r="T66">
        <v>2</v>
      </c>
      <c r="U66">
        <v>0</v>
      </c>
      <c r="V66">
        <v>0</v>
      </c>
      <c r="W66">
        <v>1</v>
      </c>
      <c r="X66">
        <v>0</v>
      </c>
      <c r="Y66">
        <v>0</v>
      </c>
      <c r="Z66">
        <v>0</v>
      </c>
      <c r="AA66">
        <v>0</v>
      </c>
      <c r="AB66">
        <v>0</v>
      </c>
      <c r="AC66">
        <v>0</v>
      </c>
      <c r="AD66">
        <v>0</v>
      </c>
      <c r="AE66">
        <v>0</v>
      </c>
      <c r="AF66">
        <v>0</v>
      </c>
      <c r="AG66">
        <v>0</v>
      </c>
      <c r="AH66">
        <v>0</v>
      </c>
      <c r="AI66">
        <v>0</v>
      </c>
      <c r="AJ66">
        <v>0</v>
      </c>
      <c r="AK66">
        <v>0</v>
      </c>
      <c r="AL66">
        <v>0</v>
      </c>
      <c r="AM66">
        <v>0</v>
      </c>
      <c r="AN66">
        <v>0</v>
      </c>
      <c r="AO66">
        <v>0</v>
      </c>
      <c r="AP66">
        <v>0</v>
      </c>
      <c r="AQ66" t="s">
        <v>19</v>
      </c>
      <c r="AR66">
        <v>38</v>
      </c>
      <c r="AT66">
        <v>274</v>
      </c>
      <c r="AV66" s="2">
        <v>44857</v>
      </c>
      <c r="AW66">
        <v>6.1696658097686437E-2</v>
      </c>
      <c r="AX66" t="s">
        <v>61</v>
      </c>
      <c r="AY66">
        <v>0.36363636363636359</v>
      </c>
      <c r="AZ66">
        <v>8.1967213114754106E-2</v>
      </c>
      <c r="BA66" t="s">
        <v>69</v>
      </c>
      <c r="BB66" t="s">
        <v>69</v>
      </c>
      <c r="BC66">
        <v>1</v>
      </c>
      <c r="BD66">
        <v>0</v>
      </c>
      <c r="BE66" t="s">
        <v>66</v>
      </c>
      <c r="BF66" t="s">
        <v>66</v>
      </c>
      <c r="BG66" t="s">
        <v>69</v>
      </c>
      <c r="BH66">
        <v>1</v>
      </c>
    </row>
    <row r="67" spans="1:60" x14ac:dyDescent="0.2">
      <c r="A67" t="s">
        <v>136</v>
      </c>
      <c r="B67">
        <v>5690</v>
      </c>
      <c r="C67" s="2">
        <v>44856</v>
      </c>
      <c r="D67" t="s">
        <v>100</v>
      </c>
      <c r="E67">
        <v>2022</v>
      </c>
      <c r="F67">
        <v>10</v>
      </c>
      <c r="G67">
        <v>4</v>
      </c>
      <c r="H67" t="s">
        <v>79</v>
      </c>
      <c r="I67">
        <v>0.3</v>
      </c>
      <c r="J67" t="s">
        <v>69</v>
      </c>
      <c r="K67" t="s">
        <v>152</v>
      </c>
      <c r="L67" s="6">
        <v>1</v>
      </c>
      <c r="M67" s="4">
        <v>1</v>
      </c>
      <c r="N67" s="4">
        <f t="shared" ref="N67:N130" si="1">IF(L67&lt;&gt;M67,1,0)</f>
        <v>0</v>
      </c>
      <c r="O67">
        <v>1</v>
      </c>
      <c r="P67">
        <v>1</v>
      </c>
      <c r="Q67">
        <v>1</v>
      </c>
      <c r="R67">
        <v>1</v>
      </c>
      <c r="S67">
        <v>0.37427091600000001</v>
      </c>
      <c r="T67">
        <v>99</v>
      </c>
      <c r="U67">
        <v>0</v>
      </c>
      <c r="V67">
        <v>0</v>
      </c>
      <c r="W67">
        <v>0</v>
      </c>
      <c r="X67">
        <v>0</v>
      </c>
      <c r="Y67">
        <v>0</v>
      </c>
      <c r="Z67">
        <v>0</v>
      </c>
      <c r="AA67">
        <v>0</v>
      </c>
      <c r="AB67">
        <v>0</v>
      </c>
      <c r="AC67">
        <v>0</v>
      </c>
      <c r="AD67">
        <v>0</v>
      </c>
      <c r="AE67">
        <v>0</v>
      </c>
      <c r="AF67">
        <v>0</v>
      </c>
      <c r="AG67">
        <v>0</v>
      </c>
      <c r="AH67">
        <v>0</v>
      </c>
      <c r="AI67">
        <v>0</v>
      </c>
      <c r="AJ67">
        <v>0</v>
      </c>
      <c r="AK67">
        <v>0</v>
      </c>
      <c r="AL67">
        <v>0</v>
      </c>
      <c r="AM67">
        <v>0</v>
      </c>
      <c r="AN67">
        <v>0</v>
      </c>
      <c r="AO67">
        <v>0</v>
      </c>
      <c r="AP67">
        <v>1</v>
      </c>
      <c r="AQ67" t="s">
        <v>38</v>
      </c>
      <c r="AR67">
        <v>44</v>
      </c>
      <c r="AT67">
        <v>274</v>
      </c>
      <c r="AV67" s="2">
        <v>44850</v>
      </c>
      <c r="AW67">
        <v>3.3942558746736261E-2</v>
      </c>
      <c r="AX67" t="s">
        <v>61</v>
      </c>
      <c r="AY67">
        <v>6.3291139240506259E-3</v>
      </c>
      <c r="AZ67">
        <v>1.714285714285704E-2</v>
      </c>
      <c r="BA67" t="s">
        <v>69</v>
      </c>
      <c r="BB67" t="s">
        <v>69</v>
      </c>
      <c r="BC67">
        <v>1</v>
      </c>
      <c r="BD67">
        <v>0</v>
      </c>
      <c r="BE67" t="s">
        <v>66</v>
      </c>
      <c r="BF67" t="s">
        <v>66</v>
      </c>
      <c r="BG67" t="s">
        <v>69</v>
      </c>
      <c r="BH67">
        <v>1</v>
      </c>
    </row>
    <row r="68" spans="1:60" x14ac:dyDescent="0.2">
      <c r="A68" t="s">
        <v>136</v>
      </c>
      <c r="B68">
        <v>21447</v>
      </c>
      <c r="C68" s="2">
        <v>44776</v>
      </c>
      <c r="D68" t="s">
        <v>63</v>
      </c>
      <c r="E68">
        <v>2022</v>
      </c>
      <c r="F68">
        <v>8</v>
      </c>
      <c r="G68">
        <v>3</v>
      </c>
      <c r="H68" t="s">
        <v>68</v>
      </c>
      <c r="I68">
        <v>0.09</v>
      </c>
      <c r="J68" t="s">
        <v>69</v>
      </c>
      <c r="K68" t="s">
        <v>153</v>
      </c>
      <c r="L68" s="6">
        <v>1</v>
      </c>
      <c r="M68" s="4">
        <v>1</v>
      </c>
      <c r="N68" s="4">
        <f t="shared" si="1"/>
        <v>0</v>
      </c>
      <c r="O68">
        <v>1</v>
      </c>
      <c r="P68">
        <v>1</v>
      </c>
      <c r="Q68">
        <v>1</v>
      </c>
      <c r="R68">
        <v>1</v>
      </c>
      <c r="S68">
        <v>0.246453598</v>
      </c>
      <c r="T68">
        <v>99</v>
      </c>
      <c r="U68">
        <v>0</v>
      </c>
      <c r="V68">
        <v>0</v>
      </c>
      <c r="W68">
        <v>0</v>
      </c>
      <c r="X68">
        <v>0</v>
      </c>
      <c r="Y68">
        <v>0</v>
      </c>
      <c r="Z68">
        <v>0</v>
      </c>
      <c r="AA68">
        <v>0</v>
      </c>
      <c r="AB68">
        <v>0</v>
      </c>
      <c r="AC68">
        <v>0</v>
      </c>
      <c r="AD68">
        <v>0</v>
      </c>
      <c r="AE68">
        <v>0</v>
      </c>
      <c r="AF68">
        <v>0</v>
      </c>
      <c r="AG68">
        <v>0</v>
      </c>
      <c r="AH68">
        <v>0</v>
      </c>
      <c r="AI68">
        <v>0</v>
      </c>
      <c r="AJ68">
        <v>0</v>
      </c>
      <c r="AK68">
        <v>0</v>
      </c>
      <c r="AL68">
        <v>0</v>
      </c>
      <c r="AM68">
        <v>0</v>
      </c>
      <c r="AN68">
        <v>0</v>
      </c>
      <c r="AO68">
        <v>0</v>
      </c>
      <c r="AP68">
        <v>1</v>
      </c>
      <c r="AQ68" t="s">
        <v>38</v>
      </c>
      <c r="AR68">
        <v>42</v>
      </c>
      <c r="AS68">
        <v>60</v>
      </c>
      <c r="AT68">
        <v>274</v>
      </c>
      <c r="AU68">
        <v>0.78102189781021902</v>
      </c>
      <c r="AV68" s="2">
        <v>44773</v>
      </c>
      <c r="AW68">
        <v>3.4999999999999983E-2</v>
      </c>
      <c r="AX68" t="s">
        <v>61</v>
      </c>
      <c r="AY68">
        <v>4.347826086956523E-2</v>
      </c>
      <c r="AZ68">
        <v>3.7735849056603571E-2</v>
      </c>
      <c r="BA68" t="s">
        <v>69</v>
      </c>
      <c r="BB68" t="s">
        <v>69</v>
      </c>
      <c r="BC68">
        <v>1</v>
      </c>
      <c r="BD68">
        <v>0</v>
      </c>
      <c r="BE68" t="s">
        <v>81</v>
      </c>
      <c r="BF68" t="s">
        <v>62</v>
      </c>
      <c r="BG68" t="s">
        <v>69</v>
      </c>
      <c r="BH68">
        <v>1</v>
      </c>
    </row>
    <row r="69" spans="1:60" x14ac:dyDescent="0.2">
      <c r="A69" t="s">
        <v>136</v>
      </c>
      <c r="B69">
        <v>19369</v>
      </c>
      <c r="C69" s="2">
        <v>44790</v>
      </c>
      <c r="D69" t="s">
        <v>63</v>
      </c>
      <c r="E69">
        <v>2022</v>
      </c>
      <c r="F69">
        <v>8</v>
      </c>
      <c r="G69">
        <v>3</v>
      </c>
      <c r="H69" t="s">
        <v>58</v>
      </c>
      <c r="I69">
        <v>0.81</v>
      </c>
      <c r="J69" t="s">
        <v>59</v>
      </c>
      <c r="K69" t="s">
        <v>154</v>
      </c>
      <c r="L69" s="6">
        <v>0</v>
      </c>
      <c r="M69" s="4">
        <v>0</v>
      </c>
      <c r="N69" s="4">
        <f t="shared" si="1"/>
        <v>0</v>
      </c>
      <c r="O69">
        <v>1</v>
      </c>
      <c r="P69">
        <v>1</v>
      </c>
      <c r="Q69">
        <v>1</v>
      </c>
      <c r="R69">
        <v>18</v>
      </c>
      <c r="S69">
        <v>0.45248672400000001</v>
      </c>
      <c r="T69">
        <v>99</v>
      </c>
      <c r="U69">
        <v>0</v>
      </c>
      <c r="V69">
        <v>0</v>
      </c>
      <c r="W69">
        <v>0</v>
      </c>
      <c r="X69">
        <v>0</v>
      </c>
      <c r="Y69">
        <v>0</v>
      </c>
      <c r="Z69">
        <v>0</v>
      </c>
      <c r="AA69">
        <v>0</v>
      </c>
      <c r="AB69">
        <v>0</v>
      </c>
      <c r="AC69">
        <v>0</v>
      </c>
      <c r="AD69">
        <v>0</v>
      </c>
      <c r="AE69">
        <v>0</v>
      </c>
      <c r="AF69">
        <v>0</v>
      </c>
      <c r="AG69">
        <v>0</v>
      </c>
      <c r="AH69">
        <v>0</v>
      </c>
      <c r="AI69">
        <v>0</v>
      </c>
      <c r="AJ69">
        <v>0</v>
      </c>
      <c r="AK69">
        <v>0</v>
      </c>
      <c r="AL69">
        <v>0</v>
      </c>
      <c r="AM69">
        <v>0</v>
      </c>
      <c r="AN69">
        <v>0</v>
      </c>
      <c r="AO69">
        <v>0</v>
      </c>
      <c r="AP69">
        <v>1</v>
      </c>
      <c r="AQ69" t="s">
        <v>38</v>
      </c>
      <c r="AR69">
        <v>23</v>
      </c>
      <c r="AS69">
        <v>46</v>
      </c>
      <c r="AT69">
        <v>274</v>
      </c>
      <c r="AU69">
        <v>0.83211678832116787</v>
      </c>
      <c r="AV69" s="2">
        <v>44787</v>
      </c>
      <c r="AW69">
        <v>5.9800664451827232E-2</v>
      </c>
      <c r="AX69" t="s">
        <v>61</v>
      </c>
      <c r="AY69">
        <v>0.1818181818181818</v>
      </c>
      <c r="AZ69">
        <v>8.8262910798122124E-2</v>
      </c>
      <c r="BA69" t="s">
        <v>59</v>
      </c>
      <c r="BB69" t="s">
        <v>59</v>
      </c>
      <c r="BC69">
        <v>0</v>
      </c>
      <c r="BD69">
        <v>0</v>
      </c>
      <c r="BE69" t="s">
        <v>66</v>
      </c>
      <c r="BF69" t="s">
        <v>66</v>
      </c>
      <c r="BG69" t="s">
        <v>59</v>
      </c>
      <c r="BH69">
        <v>1</v>
      </c>
    </row>
    <row r="70" spans="1:60" x14ac:dyDescent="0.2">
      <c r="A70" t="s">
        <v>136</v>
      </c>
      <c r="B70">
        <v>334</v>
      </c>
      <c r="C70" s="2">
        <v>44813</v>
      </c>
      <c r="D70" t="s">
        <v>67</v>
      </c>
      <c r="E70">
        <v>2022</v>
      </c>
      <c r="F70">
        <v>9</v>
      </c>
      <c r="G70">
        <v>3</v>
      </c>
      <c r="H70" t="s">
        <v>64</v>
      </c>
      <c r="I70">
        <v>0.8</v>
      </c>
      <c r="J70" t="s">
        <v>59</v>
      </c>
      <c r="K70" t="s">
        <v>155</v>
      </c>
      <c r="L70" s="6">
        <v>1</v>
      </c>
      <c r="M70" s="4">
        <v>1</v>
      </c>
      <c r="N70" s="4">
        <f t="shared" si="1"/>
        <v>0</v>
      </c>
      <c r="O70">
        <v>1</v>
      </c>
      <c r="P70">
        <v>1</v>
      </c>
      <c r="Q70">
        <v>1</v>
      </c>
      <c r="R70">
        <v>1</v>
      </c>
      <c r="S70">
        <v>0.42663642800000001</v>
      </c>
      <c r="T70">
        <v>99</v>
      </c>
      <c r="U70">
        <v>0</v>
      </c>
      <c r="V70">
        <v>0</v>
      </c>
      <c r="W70">
        <v>0</v>
      </c>
      <c r="X70">
        <v>0</v>
      </c>
      <c r="Y70">
        <v>0</v>
      </c>
      <c r="Z70">
        <v>0</v>
      </c>
      <c r="AA70">
        <v>0</v>
      </c>
      <c r="AB70">
        <v>0</v>
      </c>
      <c r="AC70">
        <v>0</v>
      </c>
      <c r="AD70">
        <v>0</v>
      </c>
      <c r="AE70">
        <v>0</v>
      </c>
      <c r="AF70">
        <v>0</v>
      </c>
      <c r="AG70">
        <v>0</v>
      </c>
      <c r="AH70">
        <v>0</v>
      </c>
      <c r="AI70">
        <v>0</v>
      </c>
      <c r="AJ70">
        <v>0</v>
      </c>
      <c r="AK70">
        <v>0</v>
      </c>
      <c r="AL70">
        <v>0</v>
      </c>
      <c r="AM70">
        <v>0</v>
      </c>
      <c r="AN70">
        <v>0</v>
      </c>
      <c r="AO70">
        <v>0</v>
      </c>
      <c r="AP70">
        <v>1</v>
      </c>
      <c r="AQ70" t="s">
        <v>38</v>
      </c>
      <c r="AR70">
        <v>50</v>
      </c>
      <c r="AS70">
        <v>23</v>
      </c>
      <c r="AT70">
        <v>274</v>
      </c>
      <c r="AU70">
        <v>0.91605839416058399</v>
      </c>
      <c r="AV70" s="2">
        <v>44808</v>
      </c>
      <c r="AW70">
        <v>5.8479532163742763E-2</v>
      </c>
      <c r="AX70" t="s">
        <v>61</v>
      </c>
      <c r="AY70">
        <v>9.6153846153846104E-2</v>
      </c>
      <c r="AZ70">
        <v>3.1182015953589399E-2</v>
      </c>
      <c r="BA70" t="s">
        <v>59</v>
      </c>
      <c r="BB70" t="s">
        <v>59</v>
      </c>
      <c r="BC70">
        <v>0</v>
      </c>
      <c r="BD70">
        <v>0</v>
      </c>
      <c r="BE70" t="s">
        <v>66</v>
      </c>
      <c r="BF70" t="s">
        <v>66</v>
      </c>
      <c r="BG70" t="s">
        <v>59</v>
      </c>
      <c r="BH70">
        <v>1</v>
      </c>
    </row>
    <row r="71" spans="1:60" x14ac:dyDescent="0.2">
      <c r="A71" t="s">
        <v>136</v>
      </c>
      <c r="B71">
        <v>19112</v>
      </c>
      <c r="C71" s="2">
        <v>44831</v>
      </c>
      <c r="D71" t="s">
        <v>67</v>
      </c>
      <c r="E71">
        <v>2022</v>
      </c>
      <c r="F71">
        <v>9</v>
      </c>
      <c r="G71">
        <v>3</v>
      </c>
      <c r="H71" t="s">
        <v>58</v>
      </c>
      <c r="I71">
        <v>0.81</v>
      </c>
      <c r="J71" t="s">
        <v>59</v>
      </c>
      <c r="K71" t="s">
        <v>156</v>
      </c>
      <c r="L71" s="6">
        <v>1</v>
      </c>
      <c r="M71" s="4">
        <v>1</v>
      </c>
      <c r="N71" s="4">
        <f t="shared" si="1"/>
        <v>0</v>
      </c>
      <c r="O71">
        <v>1</v>
      </c>
      <c r="P71">
        <v>1</v>
      </c>
      <c r="Q71">
        <v>1</v>
      </c>
      <c r="R71">
        <v>18</v>
      </c>
      <c r="S71">
        <v>0.32253748199999999</v>
      </c>
      <c r="T71">
        <v>99</v>
      </c>
      <c r="U71">
        <v>0</v>
      </c>
      <c r="V71">
        <v>0</v>
      </c>
      <c r="W71">
        <v>0</v>
      </c>
      <c r="X71">
        <v>0</v>
      </c>
      <c r="Y71">
        <v>0</v>
      </c>
      <c r="Z71">
        <v>0</v>
      </c>
      <c r="AA71">
        <v>0</v>
      </c>
      <c r="AB71">
        <v>0</v>
      </c>
      <c r="AC71">
        <v>0</v>
      </c>
      <c r="AD71">
        <v>0</v>
      </c>
      <c r="AE71">
        <v>0</v>
      </c>
      <c r="AF71">
        <v>0</v>
      </c>
      <c r="AG71">
        <v>0</v>
      </c>
      <c r="AH71">
        <v>0</v>
      </c>
      <c r="AI71">
        <v>0</v>
      </c>
      <c r="AJ71">
        <v>0</v>
      </c>
      <c r="AK71">
        <v>0</v>
      </c>
      <c r="AL71">
        <v>0</v>
      </c>
      <c r="AM71">
        <v>0</v>
      </c>
      <c r="AN71">
        <v>0</v>
      </c>
      <c r="AO71">
        <v>0</v>
      </c>
      <c r="AP71">
        <v>1</v>
      </c>
      <c r="AQ71" t="s">
        <v>38</v>
      </c>
      <c r="AR71">
        <v>34</v>
      </c>
      <c r="AS71">
        <v>5</v>
      </c>
      <c r="AT71">
        <v>274</v>
      </c>
      <c r="AU71">
        <v>0.98175182481751821</v>
      </c>
      <c r="AV71" s="2">
        <v>44829</v>
      </c>
      <c r="AW71">
        <v>5.4187192118226632E-2</v>
      </c>
      <c r="AX71" t="s">
        <v>61</v>
      </c>
      <c r="AY71">
        <v>0.20512820512820509</v>
      </c>
      <c r="AZ71">
        <v>8.8262910798122124E-2</v>
      </c>
      <c r="BA71" t="s">
        <v>59</v>
      </c>
      <c r="BB71" t="s">
        <v>59</v>
      </c>
      <c r="BC71">
        <v>0</v>
      </c>
      <c r="BD71">
        <v>0</v>
      </c>
      <c r="BE71" t="s">
        <v>66</v>
      </c>
      <c r="BF71" t="s">
        <v>66</v>
      </c>
      <c r="BG71" t="s">
        <v>59</v>
      </c>
      <c r="BH71">
        <v>1</v>
      </c>
    </row>
    <row r="72" spans="1:60" x14ac:dyDescent="0.2">
      <c r="A72" t="s">
        <v>136</v>
      </c>
      <c r="B72">
        <v>23830</v>
      </c>
      <c r="C72" s="2">
        <v>44633</v>
      </c>
      <c r="D72" t="s">
        <v>71</v>
      </c>
      <c r="E72">
        <v>2022</v>
      </c>
      <c r="F72">
        <v>3</v>
      </c>
      <c r="G72">
        <v>1</v>
      </c>
      <c r="H72" t="s">
        <v>82</v>
      </c>
      <c r="I72">
        <v>0.05</v>
      </c>
      <c r="J72" t="s">
        <v>69</v>
      </c>
      <c r="K72" t="s">
        <v>157</v>
      </c>
      <c r="L72" s="6">
        <v>0</v>
      </c>
      <c r="M72" s="4">
        <v>0</v>
      </c>
      <c r="N72" s="4">
        <f t="shared" si="1"/>
        <v>0</v>
      </c>
      <c r="O72">
        <v>1</v>
      </c>
      <c r="P72">
        <v>1</v>
      </c>
      <c r="Q72">
        <v>1</v>
      </c>
      <c r="R72">
        <v>17</v>
      </c>
      <c r="S72">
        <v>0.98927432299999996</v>
      </c>
      <c r="T72">
        <v>17</v>
      </c>
      <c r="U72">
        <v>0</v>
      </c>
      <c r="V72">
        <v>0</v>
      </c>
      <c r="W72">
        <v>0</v>
      </c>
      <c r="X72">
        <v>0</v>
      </c>
      <c r="Y72">
        <v>0</v>
      </c>
      <c r="Z72">
        <v>0</v>
      </c>
      <c r="AA72">
        <v>0</v>
      </c>
      <c r="AB72">
        <v>0</v>
      </c>
      <c r="AC72">
        <v>0</v>
      </c>
      <c r="AD72">
        <v>0</v>
      </c>
      <c r="AE72">
        <v>0</v>
      </c>
      <c r="AF72">
        <v>0</v>
      </c>
      <c r="AG72">
        <v>0</v>
      </c>
      <c r="AH72">
        <v>0</v>
      </c>
      <c r="AI72">
        <v>0</v>
      </c>
      <c r="AJ72">
        <v>0</v>
      </c>
      <c r="AK72">
        <v>0</v>
      </c>
      <c r="AL72">
        <v>1</v>
      </c>
      <c r="AM72">
        <v>0</v>
      </c>
      <c r="AN72">
        <v>0</v>
      </c>
      <c r="AO72">
        <v>0</v>
      </c>
      <c r="AP72">
        <v>0</v>
      </c>
      <c r="AQ72" t="s">
        <v>34</v>
      </c>
      <c r="AR72">
        <v>34</v>
      </c>
      <c r="AS72">
        <v>203</v>
      </c>
      <c r="AT72">
        <v>274</v>
      </c>
      <c r="AU72">
        <v>0.25912408759124089</v>
      </c>
      <c r="AV72" s="2">
        <v>44633</v>
      </c>
      <c r="AW72">
        <v>8.9108910891089049E-2</v>
      </c>
      <c r="AX72" t="s">
        <v>61</v>
      </c>
      <c r="AY72">
        <v>0.19565217391304349</v>
      </c>
      <c r="AZ72">
        <v>0.1647727272727274</v>
      </c>
      <c r="BA72" t="s">
        <v>69</v>
      </c>
      <c r="BB72" t="s">
        <v>69</v>
      </c>
      <c r="BC72">
        <v>1</v>
      </c>
      <c r="BD72">
        <v>0</v>
      </c>
      <c r="BE72" t="s">
        <v>62</v>
      </c>
      <c r="BF72" t="s">
        <v>62</v>
      </c>
      <c r="BG72" t="s">
        <v>69</v>
      </c>
      <c r="BH72">
        <v>1</v>
      </c>
    </row>
    <row r="73" spans="1:60" x14ac:dyDescent="0.2">
      <c r="A73" t="s">
        <v>136</v>
      </c>
      <c r="B73">
        <v>10916</v>
      </c>
      <c r="C73" s="2">
        <v>44783</v>
      </c>
      <c r="D73" t="s">
        <v>63</v>
      </c>
      <c r="E73">
        <v>2022</v>
      </c>
      <c r="F73">
        <v>8</v>
      </c>
      <c r="G73">
        <v>3</v>
      </c>
      <c r="H73" t="s">
        <v>73</v>
      </c>
      <c r="I73">
        <v>0.39</v>
      </c>
      <c r="J73" t="s">
        <v>74</v>
      </c>
      <c r="K73" t="s">
        <v>158</v>
      </c>
      <c r="L73" s="6">
        <v>1</v>
      </c>
      <c r="M73" s="4">
        <v>1</v>
      </c>
      <c r="N73" s="4">
        <f t="shared" si="1"/>
        <v>0</v>
      </c>
      <c r="O73">
        <v>1</v>
      </c>
      <c r="P73">
        <v>1</v>
      </c>
      <c r="Q73">
        <v>1</v>
      </c>
      <c r="R73">
        <v>18</v>
      </c>
      <c r="S73">
        <v>0.46667852999999998</v>
      </c>
      <c r="T73">
        <v>99</v>
      </c>
      <c r="U73">
        <v>0</v>
      </c>
      <c r="V73">
        <v>0</v>
      </c>
      <c r="W73">
        <v>0</v>
      </c>
      <c r="X73">
        <v>0</v>
      </c>
      <c r="Y73">
        <v>0</v>
      </c>
      <c r="Z73">
        <v>0</v>
      </c>
      <c r="AA73">
        <v>0</v>
      </c>
      <c r="AB73">
        <v>0</v>
      </c>
      <c r="AC73">
        <v>0</v>
      </c>
      <c r="AD73">
        <v>0</v>
      </c>
      <c r="AE73">
        <v>0</v>
      </c>
      <c r="AF73">
        <v>0</v>
      </c>
      <c r="AG73">
        <v>0</v>
      </c>
      <c r="AH73">
        <v>0</v>
      </c>
      <c r="AI73">
        <v>0</v>
      </c>
      <c r="AJ73">
        <v>0</v>
      </c>
      <c r="AK73">
        <v>0</v>
      </c>
      <c r="AL73">
        <v>0</v>
      </c>
      <c r="AM73">
        <v>0</v>
      </c>
      <c r="AN73">
        <v>0</v>
      </c>
      <c r="AO73">
        <v>0</v>
      </c>
      <c r="AP73">
        <v>1</v>
      </c>
      <c r="AQ73" t="s">
        <v>38</v>
      </c>
      <c r="AR73">
        <v>37</v>
      </c>
      <c r="AS73">
        <v>53</v>
      </c>
      <c r="AT73">
        <v>274</v>
      </c>
      <c r="AU73">
        <v>0.80656934306569339</v>
      </c>
      <c r="AV73" s="2">
        <v>44780</v>
      </c>
      <c r="AW73">
        <v>3.7037037037037063E-2</v>
      </c>
      <c r="AX73" t="s">
        <v>61</v>
      </c>
      <c r="AY73">
        <v>0.1162790697674419</v>
      </c>
      <c r="AZ73">
        <v>5.7251908396946792E-2</v>
      </c>
      <c r="BA73" t="s">
        <v>69</v>
      </c>
      <c r="BB73" t="s">
        <v>69</v>
      </c>
      <c r="BC73">
        <v>1</v>
      </c>
      <c r="BD73">
        <v>0</v>
      </c>
      <c r="BE73" t="s">
        <v>81</v>
      </c>
      <c r="BF73" t="s">
        <v>62</v>
      </c>
      <c r="BG73" t="s">
        <v>69</v>
      </c>
      <c r="BH73">
        <v>1</v>
      </c>
    </row>
    <row r="74" spans="1:60" x14ac:dyDescent="0.2">
      <c r="A74" t="s">
        <v>136</v>
      </c>
      <c r="B74">
        <v>23689</v>
      </c>
      <c r="C74" s="2">
        <v>44736</v>
      </c>
      <c r="D74" t="s">
        <v>126</v>
      </c>
      <c r="E74">
        <v>2022</v>
      </c>
      <c r="F74">
        <v>6</v>
      </c>
      <c r="G74">
        <v>2</v>
      </c>
      <c r="H74" t="s">
        <v>82</v>
      </c>
      <c r="I74">
        <v>0.05</v>
      </c>
      <c r="J74" t="s">
        <v>69</v>
      </c>
      <c r="K74" t="s">
        <v>159</v>
      </c>
      <c r="L74" s="6">
        <v>1</v>
      </c>
      <c r="M74" s="4">
        <v>1</v>
      </c>
      <c r="N74" s="4">
        <f t="shared" si="1"/>
        <v>0</v>
      </c>
      <c r="O74">
        <v>1</v>
      </c>
      <c r="P74">
        <v>1</v>
      </c>
      <c r="Q74">
        <v>1</v>
      </c>
      <c r="R74">
        <v>2</v>
      </c>
      <c r="S74">
        <v>0.65262860099999997</v>
      </c>
      <c r="T74">
        <v>2</v>
      </c>
      <c r="U74">
        <v>0</v>
      </c>
      <c r="V74">
        <v>0</v>
      </c>
      <c r="W74">
        <v>1</v>
      </c>
      <c r="X74">
        <v>0</v>
      </c>
      <c r="Y74">
        <v>0</v>
      </c>
      <c r="Z74">
        <v>0</v>
      </c>
      <c r="AA74">
        <v>0</v>
      </c>
      <c r="AB74">
        <v>0</v>
      </c>
      <c r="AC74">
        <v>0</v>
      </c>
      <c r="AD74">
        <v>0</v>
      </c>
      <c r="AE74">
        <v>0</v>
      </c>
      <c r="AF74">
        <v>0</v>
      </c>
      <c r="AG74">
        <v>0</v>
      </c>
      <c r="AH74">
        <v>0</v>
      </c>
      <c r="AI74">
        <v>0</v>
      </c>
      <c r="AJ74">
        <v>0</v>
      </c>
      <c r="AK74">
        <v>0</v>
      </c>
      <c r="AL74">
        <v>0</v>
      </c>
      <c r="AM74">
        <v>0</v>
      </c>
      <c r="AN74">
        <v>0</v>
      </c>
      <c r="AO74">
        <v>0</v>
      </c>
      <c r="AP74">
        <v>0</v>
      </c>
      <c r="AQ74" t="s">
        <v>19</v>
      </c>
      <c r="AR74">
        <v>44</v>
      </c>
      <c r="AS74">
        <v>100</v>
      </c>
      <c r="AT74">
        <v>274</v>
      </c>
      <c r="AU74">
        <v>0.63503649635036497</v>
      </c>
      <c r="AV74" s="2">
        <v>44731</v>
      </c>
      <c r="AW74">
        <v>3.9473684210526362E-2</v>
      </c>
      <c r="AX74" t="s">
        <v>61</v>
      </c>
      <c r="AY74">
        <v>0.2857142857142857</v>
      </c>
      <c r="AZ74">
        <v>0.1647727272727274</v>
      </c>
      <c r="BA74" t="s">
        <v>69</v>
      </c>
      <c r="BB74" t="s">
        <v>69</v>
      </c>
      <c r="BC74">
        <v>1</v>
      </c>
      <c r="BD74">
        <v>0</v>
      </c>
      <c r="BE74" t="s">
        <v>81</v>
      </c>
      <c r="BF74" t="s">
        <v>62</v>
      </c>
      <c r="BG74" t="s">
        <v>69</v>
      </c>
      <c r="BH74">
        <v>1</v>
      </c>
    </row>
    <row r="75" spans="1:60" x14ac:dyDescent="0.2">
      <c r="A75" t="s">
        <v>136</v>
      </c>
      <c r="B75">
        <v>21591</v>
      </c>
      <c r="C75" s="2">
        <v>44753</v>
      </c>
      <c r="D75" t="s">
        <v>90</v>
      </c>
      <c r="E75">
        <v>2022</v>
      </c>
      <c r="F75">
        <v>7</v>
      </c>
      <c r="G75">
        <v>3</v>
      </c>
      <c r="H75" t="s">
        <v>68</v>
      </c>
      <c r="I75">
        <v>0.09</v>
      </c>
      <c r="J75" t="s">
        <v>69</v>
      </c>
      <c r="K75" t="s">
        <v>160</v>
      </c>
      <c r="L75" s="6">
        <v>1</v>
      </c>
      <c r="M75" s="4">
        <v>1</v>
      </c>
      <c r="N75" s="4">
        <f t="shared" si="1"/>
        <v>0</v>
      </c>
      <c r="O75">
        <v>1</v>
      </c>
      <c r="P75">
        <v>1</v>
      </c>
      <c r="Q75">
        <v>1</v>
      </c>
      <c r="R75">
        <v>1</v>
      </c>
      <c r="S75">
        <v>0.41844362000000002</v>
      </c>
      <c r="T75">
        <v>99</v>
      </c>
      <c r="U75">
        <v>0</v>
      </c>
      <c r="V75">
        <v>0</v>
      </c>
      <c r="W75">
        <v>0</v>
      </c>
      <c r="X75">
        <v>0</v>
      </c>
      <c r="Y75">
        <v>0</v>
      </c>
      <c r="Z75">
        <v>0</v>
      </c>
      <c r="AA75">
        <v>0</v>
      </c>
      <c r="AB75">
        <v>0</v>
      </c>
      <c r="AC75">
        <v>0</v>
      </c>
      <c r="AD75">
        <v>0</v>
      </c>
      <c r="AE75">
        <v>0</v>
      </c>
      <c r="AF75">
        <v>0</v>
      </c>
      <c r="AG75">
        <v>0</v>
      </c>
      <c r="AH75">
        <v>0</v>
      </c>
      <c r="AI75">
        <v>0</v>
      </c>
      <c r="AJ75">
        <v>0</v>
      </c>
      <c r="AK75">
        <v>0</v>
      </c>
      <c r="AL75">
        <v>0</v>
      </c>
      <c r="AM75">
        <v>0</v>
      </c>
      <c r="AN75">
        <v>0</v>
      </c>
      <c r="AO75">
        <v>0</v>
      </c>
      <c r="AP75">
        <v>1</v>
      </c>
      <c r="AQ75" t="s">
        <v>38</v>
      </c>
      <c r="AR75">
        <v>39</v>
      </c>
      <c r="AS75">
        <v>83</v>
      </c>
      <c r="AT75">
        <v>274</v>
      </c>
      <c r="AU75">
        <v>0.6970802919708029</v>
      </c>
      <c r="AV75" s="2">
        <v>44752</v>
      </c>
      <c r="AW75">
        <v>4.9295774647887307E-2</v>
      </c>
      <c r="AX75" t="s">
        <v>61</v>
      </c>
      <c r="AY75">
        <v>6.8965517241379296E-2</v>
      </c>
      <c r="AZ75">
        <v>3.7735849056603571E-2</v>
      </c>
      <c r="BA75" t="s">
        <v>69</v>
      </c>
      <c r="BB75" t="s">
        <v>69</v>
      </c>
      <c r="BC75">
        <v>1</v>
      </c>
      <c r="BD75">
        <v>0</v>
      </c>
      <c r="BE75" t="s">
        <v>81</v>
      </c>
      <c r="BF75" t="s">
        <v>62</v>
      </c>
      <c r="BG75" t="s">
        <v>69</v>
      </c>
      <c r="BH75">
        <v>1</v>
      </c>
    </row>
    <row r="76" spans="1:60" x14ac:dyDescent="0.2">
      <c r="A76" t="s">
        <v>136</v>
      </c>
      <c r="B76">
        <v>11297</v>
      </c>
      <c r="C76" s="2">
        <v>44718</v>
      </c>
      <c r="D76" t="s">
        <v>126</v>
      </c>
      <c r="E76">
        <v>2022</v>
      </c>
      <c r="F76">
        <v>6</v>
      </c>
      <c r="G76">
        <v>2</v>
      </c>
      <c r="H76" t="s">
        <v>73</v>
      </c>
      <c r="I76">
        <v>0.39</v>
      </c>
      <c r="J76" t="s">
        <v>74</v>
      </c>
      <c r="K76" t="s">
        <v>161</v>
      </c>
      <c r="L76" s="6">
        <v>1</v>
      </c>
      <c r="M76" s="4">
        <v>1</v>
      </c>
      <c r="N76" s="4">
        <f t="shared" si="1"/>
        <v>0</v>
      </c>
      <c r="O76">
        <v>1</v>
      </c>
      <c r="P76">
        <v>1</v>
      </c>
      <c r="Q76">
        <v>1</v>
      </c>
      <c r="R76">
        <v>1</v>
      </c>
      <c r="S76">
        <v>0.45995602000000002</v>
      </c>
      <c r="T76">
        <v>99</v>
      </c>
      <c r="U76">
        <v>0</v>
      </c>
      <c r="V76">
        <v>0</v>
      </c>
      <c r="W76">
        <v>0</v>
      </c>
      <c r="X76">
        <v>0</v>
      </c>
      <c r="Y76">
        <v>0</v>
      </c>
      <c r="Z76">
        <v>0</v>
      </c>
      <c r="AA76">
        <v>0</v>
      </c>
      <c r="AB76">
        <v>0</v>
      </c>
      <c r="AC76">
        <v>0</v>
      </c>
      <c r="AD76">
        <v>0</v>
      </c>
      <c r="AE76">
        <v>0</v>
      </c>
      <c r="AF76">
        <v>0</v>
      </c>
      <c r="AG76">
        <v>0</v>
      </c>
      <c r="AH76">
        <v>0</v>
      </c>
      <c r="AI76">
        <v>0</v>
      </c>
      <c r="AJ76">
        <v>0</v>
      </c>
      <c r="AK76">
        <v>0</v>
      </c>
      <c r="AL76">
        <v>0</v>
      </c>
      <c r="AM76">
        <v>0</v>
      </c>
      <c r="AN76">
        <v>0</v>
      </c>
      <c r="AO76">
        <v>0</v>
      </c>
      <c r="AP76">
        <v>1</v>
      </c>
      <c r="AQ76" t="s">
        <v>38</v>
      </c>
      <c r="AR76">
        <v>37</v>
      </c>
      <c r="AS76">
        <v>118</v>
      </c>
      <c r="AT76">
        <v>274</v>
      </c>
      <c r="AU76">
        <v>0.56934306569343063</v>
      </c>
      <c r="AV76" s="2">
        <v>44717</v>
      </c>
      <c r="AW76">
        <v>3.7234042553191488E-2</v>
      </c>
      <c r="AX76" t="s">
        <v>61</v>
      </c>
      <c r="AY76">
        <v>0.1111111111111111</v>
      </c>
      <c r="AZ76">
        <v>5.7251908396946792E-2</v>
      </c>
      <c r="BA76" t="s">
        <v>69</v>
      </c>
      <c r="BB76" t="s">
        <v>69</v>
      </c>
      <c r="BC76">
        <v>1</v>
      </c>
      <c r="BD76">
        <v>0</v>
      </c>
      <c r="BE76" t="s">
        <v>81</v>
      </c>
      <c r="BF76" t="s">
        <v>62</v>
      </c>
      <c r="BG76" t="s">
        <v>69</v>
      </c>
      <c r="BH76">
        <v>1</v>
      </c>
    </row>
    <row r="77" spans="1:60" x14ac:dyDescent="0.2">
      <c r="A77" t="s">
        <v>136</v>
      </c>
      <c r="B77">
        <v>10630</v>
      </c>
      <c r="C77" s="2">
        <v>44812</v>
      </c>
      <c r="D77" t="s">
        <v>67</v>
      </c>
      <c r="E77">
        <v>2022</v>
      </c>
      <c r="F77">
        <v>9</v>
      </c>
      <c r="G77">
        <v>3</v>
      </c>
      <c r="H77" t="s">
        <v>73</v>
      </c>
      <c r="I77">
        <v>0.39</v>
      </c>
      <c r="J77" t="s">
        <v>74</v>
      </c>
      <c r="K77" t="s">
        <v>162</v>
      </c>
      <c r="L77" s="6">
        <v>1</v>
      </c>
      <c r="M77" s="4">
        <v>1</v>
      </c>
      <c r="N77" s="4">
        <f t="shared" si="1"/>
        <v>0</v>
      </c>
      <c r="O77">
        <v>1</v>
      </c>
      <c r="P77">
        <v>1</v>
      </c>
      <c r="Q77">
        <v>1</v>
      </c>
      <c r="R77">
        <v>1</v>
      </c>
      <c r="S77">
        <v>0.25473845000000001</v>
      </c>
      <c r="T77">
        <v>99</v>
      </c>
      <c r="U77">
        <v>0</v>
      </c>
      <c r="V77">
        <v>0</v>
      </c>
      <c r="W77">
        <v>0</v>
      </c>
      <c r="X77">
        <v>0</v>
      </c>
      <c r="Y77">
        <v>0</v>
      </c>
      <c r="Z77">
        <v>0</v>
      </c>
      <c r="AA77">
        <v>0</v>
      </c>
      <c r="AB77">
        <v>0</v>
      </c>
      <c r="AC77">
        <v>0</v>
      </c>
      <c r="AD77">
        <v>0</v>
      </c>
      <c r="AE77">
        <v>0</v>
      </c>
      <c r="AF77">
        <v>0</v>
      </c>
      <c r="AG77">
        <v>0</v>
      </c>
      <c r="AH77">
        <v>0</v>
      </c>
      <c r="AI77">
        <v>0</v>
      </c>
      <c r="AJ77">
        <v>0</v>
      </c>
      <c r="AK77">
        <v>0</v>
      </c>
      <c r="AL77">
        <v>0</v>
      </c>
      <c r="AM77">
        <v>0</v>
      </c>
      <c r="AN77">
        <v>0</v>
      </c>
      <c r="AO77">
        <v>0</v>
      </c>
      <c r="AP77">
        <v>1</v>
      </c>
      <c r="AQ77" t="s">
        <v>38</v>
      </c>
      <c r="AR77">
        <v>50</v>
      </c>
      <c r="AS77">
        <v>24</v>
      </c>
      <c r="AT77">
        <v>274</v>
      </c>
      <c r="AU77">
        <v>0.91240875912408759</v>
      </c>
      <c r="AV77" s="2">
        <v>44808</v>
      </c>
      <c r="AW77">
        <v>5.8479532163742763E-2</v>
      </c>
      <c r="AX77" t="s">
        <v>61</v>
      </c>
      <c r="AY77">
        <v>8.3333333333333343E-2</v>
      </c>
      <c r="AZ77">
        <v>5.7251908396946792E-2</v>
      </c>
      <c r="BA77" t="s">
        <v>69</v>
      </c>
      <c r="BB77" t="s">
        <v>69</v>
      </c>
      <c r="BC77">
        <v>1</v>
      </c>
      <c r="BD77">
        <v>0</v>
      </c>
      <c r="BE77" t="s">
        <v>66</v>
      </c>
      <c r="BF77" t="s">
        <v>66</v>
      </c>
      <c r="BG77" t="s">
        <v>69</v>
      </c>
      <c r="BH77">
        <v>1</v>
      </c>
    </row>
    <row r="78" spans="1:60" x14ac:dyDescent="0.2">
      <c r="A78" t="s">
        <v>136</v>
      </c>
      <c r="B78">
        <v>331</v>
      </c>
      <c r="C78" s="2">
        <v>44813</v>
      </c>
      <c r="D78" t="s">
        <v>67</v>
      </c>
      <c r="E78">
        <v>2022</v>
      </c>
      <c r="F78">
        <v>9</v>
      </c>
      <c r="G78">
        <v>3</v>
      </c>
      <c r="H78" t="s">
        <v>64</v>
      </c>
      <c r="I78">
        <v>0.8</v>
      </c>
      <c r="J78" t="s">
        <v>59</v>
      </c>
      <c r="K78" t="s">
        <v>163</v>
      </c>
      <c r="L78" s="6">
        <v>1</v>
      </c>
      <c r="M78" s="4">
        <v>1</v>
      </c>
      <c r="N78" s="4">
        <f t="shared" si="1"/>
        <v>0</v>
      </c>
      <c r="O78">
        <v>1</v>
      </c>
      <c r="P78">
        <v>1</v>
      </c>
      <c r="Q78">
        <v>1</v>
      </c>
      <c r="R78">
        <v>1</v>
      </c>
      <c r="S78">
        <v>0.271380395</v>
      </c>
      <c r="T78">
        <v>99</v>
      </c>
      <c r="U78">
        <v>0</v>
      </c>
      <c r="V78">
        <v>0</v>
      </c>
      <c r="W78">
        <v>0</v>
      </c>
      <c r="X78">
        <v>0</v>
      </c>
      <c r="Y78">
        <v>0</v>
      </c>
      <c r="Z78">
        <v>0</v>
      </c>
      <c r="AA78">
        <v>0</v>
      </c>
      <c r="AB78">
        <v>0</v>
      </c>
      <c r="AC78">
        <v>0</v>
      </c>
      <c r="AD78">
        <v>0</v>
      </c>
      <c r="AE78">
        <v>0</v>
      </c>
      <c r="AF78">
        <v>0</v>
      </c>
      <c r="AG78">
        <v>0</v>
      </c>
      <c r="AH78">
        <v>0</v>
      </c>
      <c r="AI78">
        <v>0</v>
      </c>
      <c r="AJ78">
        <v>0</v>
      </c>
      <c r="AK78">
        <v>0</v>
      </c>
      <c r="AL78">
        <v>0</v>
      </c>
      <c r="AM78">
        <v>0</v>
      </c>
      <c r="AN78">
        <v>0</v>
      </c>
      <c r="AO78">
        <v>0</v>
      </c>
      <c r="AP78">
        <v>1</v>
      </c>
      <c r="AQ78" t="s">
        <v>38</v>
      </c>
      <c r="AR78">
        <v>40</v>
      </c>
      <c r="AS78">
        <v>23</v>
      </c>
      <c r="AT78">
        <v>274</v>
      </c>
      <c r="AU78">
        <v>0.91605839416058399</v>
      </c>
      <c r="AV78" s="2">
        <v>44808</v>
      </c>
      <c r="AW78">
        <v>5.8479532163742763E-2</v>
      </c>
      <c r="AX78" t="s">
        <v>61</v>
      </c>
      <c r="AY78">
        <v>9.6153846153846104E-2</v>
      </c>
      <c r="AZ78">
        <v>3.1182015953589399E-2</v>
      </c>
      <c r="BA78" t="s">
        <v>59</v>
      </c>
      <c r="BB78" t="s">
        <v>59</v>
      </c>
      <c r="BC78">
        <v>0</v>
      </c>
      <c r="BD78">
        <v>0</v>
      </c>
      <c r="BE78" t="s">
        <v>66</v>
      </c>
      <c r="BF78" t="s">
        <v>66</v>
      </c>
      <c r="BG78" t="s">
        <v>59</v>
      </c>
      <c r="BH78">
        <v>1</v>
      </c>
    </row>
    <row r="79" spans="1:60" x14ac:dyDescent="0.2">
      <c r="A79" t="s">
        <v>136</v>
      </c>
      <c r="B79">
        <v>665</v>
      </c>
      <c r="C79" s="2">
        <v>44748</v>
      </c>
      <c r="D79" t="s">
        <v>90</v>
      </c>
      <c r="E79">
        <v>2022</v>
      </c>
      <c r="F79">
        <v>7</v>
      </c>
      <c r="G79">
        <v>3</v>
      </c>
      <c r="H79" t="s">
        <v>64</v>
      </c>
      <c r="I79">
        <v>0.8</v>
      </c>
      <c r="J79" t="s">
        <v>59</v>
      </c>
      <c r="K79" t="s">
        <v>164</v>
      </c>
      <c r="L79" s="6">
        <v>1</v>
      </c>
      <c r="M79" s="4">
        <v>1</v>
      </c>
      <c r="N79" s="4">
        <f t="shared" si="1"/>
        <v>0</v>
      </c>
      <c r="O79">
        <v>1</v>
      </c>
      <c r="P79">
        <v>1</v>
      </c>
      <c r="Q79">
        <v>1</v>
      </c>
      <c r="R79">
        <v>12</v>
      </c>
      <c r="S79">
        <v>0.59943228999999998</v>
      </c>
      <c r="T79">
        <v>12</v>
      </c>
      <c r="U79">
        <v>0</v>
      </c>
      <c r="V79">
        <v>0</v>
      </c>
      <c r="W79">
        <v>0</v>
      </c>
      <c r="X79">
        <v>0</v>
      </c>
      <c r="Y79">
        <v>0</v>
      </c>
      <c r="Z79">
        <v>0</v>
      </c>
      <c r="AA79">
        <v>0</v>
      </c>
      <c r="AB79">
        <v>0</v>
      </c>
      <c r="AC79">
        <v>0</v>
      </c>
      <c r="AD79">
        <v>0</v>
      </c>
      <c r="AE79">
        <v>0</v>
      </c>
      <c r="AF79">
        <v>0</v>
      </c>
      <c r="AG79">
        <v>1</v>
      </c>
      <c r="AH79">
        <v>0</v>
      </c>
      <c r="AI79">
        <v>0</v>
      </c>
      <c r="AJ79">
        <v>0</v>
      </c>
      <c r="AK79">
        <v>0</v>
      </c>
      <c r="AL79">
        <v>0</v>
      </c>
      <c r="AM79">
        <v>0</v>
      </c>
      <c r="AN79">
        <v>0</v>
      </c>
      <c r="AO79">
        <v>0</v>
      </c>
      <c r="AP79">
        <v>0</v>
      </c>
      <c r="AQ79" t="s">
        <v>29</v>
      </c>
      <c r="AR79">
        <v>48</v>
      </c>
      <c r="AS79">
        <v>88</v>
      </c>
      <c r="AT79">
        <v>274</v>
      </c>
      <c r="AU79">
        <v>0.67883211678832112</v>
      </c>
      <c r="AV79" s="2">
        <v>44745</v>
      </c>
      <c r="AW79">
        <v>5.2863436123348047E-2</v>
      </c>
      <c r="AX79" t="s">
        <v>61</v>
      </c>
      <c r="AY79">
        <v>6.25E-2</v>
      </c>
      <c r="AZ79">
        <v>3.1182015953589399E-2</v>
      </c>
      <c r="BA79" t="s">
        <v>59</v>
      </c>
      <c r="BB79" t="s">
        <v>59</v>
      </c>
      <c r="BC79">
        <v>0</v>
      </c>
      <c r="BD79">
        <v>0</v>
      </c>
      <c r="BE79" t="s">
        <v>81</v>
      </c>
      <c r="BF79" t="s">
        <v>62</v>
      </c>
      <c r="BG79" t="s">
        <v>59</v>
      </c>
      <c r="BH79">
        <v>1</v>
      </c>
    </row>
    <row r="80" spans="1:60" x14ac:dyDescent="0.2">
      <c r="A80" t="s">
        <v>136</v>
      </c>
      <c r="B80">
        <v>27927</v>
      </c>
      <c r="C80" s="2">
        <v>44619</v>
      </c>
      <c r="D80" t="s">
        <v>57</v>
      </c>
      <c r="E80">
        <v>2022</v>
      </c>
      <c r="F80">
        <v>2</v>
      </c>
      <c r="G80">
        <v>1</v>
      </c>
      <c r="H80" t="s">
        <v>86</v>
      </c>
      <c r="I80">
        <v>0.83</v>
      </c>
      <c r="J80" t="s">
        <v>59</v>
      </c>
      <c r="K80" t="s">
        <v>165</v>
      </c>
      <c r="L80" s="6">
        <v>1</v>
      </c>
      <c r="M80" s="4">
        <v>1</v>
      </c>
      <c r="N80" s="4">
        <f t="shared" si="1"/>
        <v>0</v>
      </c>
      <c r="O80">
        <v>1</v>
      </c>
      <c r="P80">
        <v>1</v>
      </c>
      <c r="Q80">
        <v>1</v>
      </c>
      <c r="R80">
        <v>14</v>
      </c>
      <c r="S80">
        <v>0.903731167</v>
      </c>
      <c r="T80">
        <v>14</v>
      </c>
      <c r="U80">
        <v>0</v>
      </c>
      <c r="V80">
        <v>0</v>
      </c>
      <c r="W80">
        <v>0</v>
      </c>
      <c r="X80">
        <v>0</v>
      </c>
      <c r="Y80">
        <v>0</v>
      </c>
      <c r="Z80">
        <v>0</v>
      </c>
      <c r="AA80">
        <v>0</v>
      </c>
      <c r="AB80">
        <v>0</v>
      </c>
      <c r="AC80">
        <v>0</v>
      </c>
      <c r="AD80">
        <v>0</v>
      </c>
      <c r="AE80">
        <v>0</v>
      </c>
      <c r="AF80">
        <v>0</v>
      </c>
      <c r="AG80">
        <v>0</v>
      </c>
      <c r="AH80">
        <v>0</v>
      </c>
      <c r="AI80">
        <v>1</v>
      </c>
      <c r="AJ80">
        <v>0</v>
      </c>
      <c r="AK80">
        <v>0</v>
      </c>
      <c r="AL80">
        <v>0</v>
      </c>
      <c r="AM80">
        <v>0</v>
      </c>
      <c r="AN80">
        <v>0</v>
      </c>
      <c r="AO80">
        <v>0</v>
      </c>
      <c r="AP80">
        <v>0</v>
      </c>
      <c r="AQ80" t="s">
        <v>31</v>
      </c>
      <c r="AR80">
        <v>41</v>
      </c>
      <c r="AS80">
        <v>217</v>
      </c>
      <c r="AT80">
        <v>274</v>
      </c>
      <c r="AU80">
        <v>0.20802919708029199</v>
      </c>
      <c r="AV80" s="2">
        <v>44619</v>
      </c>
      <c r="AW80">
        <v>3.4722222222222217E-2</v>
      </c>
      <c r="AX80" t="s">
        <v>61</v>
      </c>
      <c r="AY80">
        <v>6.25E-2</v>
      </c>
      <c r="AZ80">
        <v>3.065134099616867E-3</v>
      </c>
      <c r="BA80" t="s">
        <v>59</v>
      </c>
      <c r="BB80" t="s">
        <v>59</v>
      </c>
      <c r="BC80">
        <v>0</v>
      </c>
      <c r="BD80">
        <v>0</v>
      </c>
      <c r="BE80" t="s">
        <v>62</v>
      </c>
      <c r="BF80" t="s">
        <v>62</v>
      </c>
      <c r="BG80" t="s">
        <v>59</v>
      </c>
      <c r="BH80">
        <v>1</v>
      </c>
    </row>
    <row r="81" spans="1:60" x14ac:dyDescent="0.2">
      <c r="A81" t="s">
        <v>136</v>
      </c>
      <c r="B81">
        <v>22148</v>
      </c>
      <c r="C81" s="2">
        <v>44608</v>
      </c>
      <c r="D81" t="s">
        <v>57</v>
      </c>
      <c r="E81">
        <v>2022</v>
      </c>
      <c r="F81">
        <v>2</v>
      </c>
      <c r="G81">
        <v>1</v>
      </c>
      <c r="H81" t="s">
        <v>68</v>
      </c>
      <c r="I81">
        <v>0.09</v>
      </c>
      <c r="J81" t="s">
        <v>69</v>
      </c>
      <c r="K81" t="s">
        <v>166</v>
      </c>
      <c r="L81" s="6">
        <v>1</v>
      </c>
      <c r="M81" s="4">
        <v>1</v>
      </c>
      <c r="N81" s="4">
        <f t="shared" si="1"/>
        <v>0</v>
      </c>
      <c r="O81">
        <v>1</v>
      </c>
      <c r="P81">
        <v>1</v>
      </c>
      <c r="Q81">
        <v>1</v>
      </c>
      <c r="R81">
        <v>18</v>
      </c>
      <c r="S81">
        <v>0.496297449</v>
      </c>
      <c r="T81">
        <v>99</v>
      </c>
      <c r="U81">
        <v>0</v>
      </c>
      <c r="V81">
        <v>0</v>
      </c>
      <c r="W81">
        <v>0</v>
      </c>
      <c r="X81">
        <v>0</v>
      </c>
      <c r="Y81">
        <v>0</v>
      </c>
      <c r="Z81">
        <v>0</v>
      </c>
      <c r="AA81">
        <v>0</v>
      </c>
      <c r="AB81">
        <v>0</v>
      </c>
      <c r="AC81">
        <v>0</v>
      </c>
      <c r="AD81">
        <v>0</v>
      </c>
      <c r="AE81">
        <v>0</v>
      </c>
      <c r="AF81">
        <v>0</v>
      </c>
      <c r="AG81">
        <v>0</v>
      </c>
      <c r="AH81">
        <v>0</v>
      </c>
      <c r="AI81">
        <v>0</v>
      </c>
      <c r="AJ81">
        <v>0</v>
      </c>
      <c r="AK81">
        <v>0</v>
      </c>
      <c r="AL81">
        <v>0</v>
      </c>
      <c r="AM81">
        <v>0</v>
      </c>
      <c r="AN81">
        <v>0</v>
      </c>
      <c r="AO81">
        <v>0</v>
      </c>
      <c r="AP81">
        <v>1</v>
      </c>
      <c r="AQ81" t="s">
        <v>38</v>
      </c>
      <c r="AR81">
        <v>44</v>
      </c>
      <c r="AS81">
        <v>228</v>
      </c>
      <c r="AT81">
        <v>274</v>
      </c>
      <c r="AU81">
        <v>0.16788321167883211</v>
      </c>
      <c r="AV81" s="2">
        <v>44605</v>
      </c>
      <c r="AW81">
        <v>3.4285714285714308E-2</v>
      </c>
      <c r="AX81" t="s">
        <v>61</v>
      </c>
      <c r="AY81">
        <v>3.9999999999999987E-2</v>
      </c>
      <c r="AZ81">
        <v>3.7735849056603571E-2</v>
      </c>
      <c r="BA81" t="s">
        <v>69</v>
      </c>
      <c r="BB81" t="s">
        <v>69</v>
      </c>
      <c r="BC81">
        <v>1</v>
      </c>
      <c r="BD81">
        <v>0</v>
      </c>
      <c r="BE81" t="s">
        <v>62</v>
      </c>
      <c r="BF81" t="s">
        <v>62</v>
      </c>
      <c r="BG81" t="s">
        <v>69</v>
      </c>
      <c r="BH81">
        <v>1</v>
      </c>
    </row>
    <row r="82" spans="1:60" x14ac:dyDescent="0.2">
      <c r="A82" t="s">
        <v>136</v>
      </c>
      <c r="B82">
        <v>23900</v>
      </c>
      <c r="C82" s="2">
        <v>44602</v>
      </c>
      <c r="D82" t="s">
        <v>57</v>
      </c>
      <c r="E82">
        <v>2022</v>
      </c>
      <c r="F82">
        <v>2</v>
      </c>
      <c r="G82">
        <v>1</v>
      </c>
      <c r="H82" t="s">
        <v>82</v>
      </c>
      <c r="I82">
        <v>0.05</v>
      </c>
      <c r="J82" t="s">
        <v>69</v>
      </c>
      <c r="K82" t="s">
        <v>167</v>
      </c>
      <c r="L82" s="6">
        <v>1</v>
      </c>
      <c r="M82" s="4">
        <v>1</v>
      </c>
      <c r="N82" s="4">
        <f t="shared" si="1"/>
        <v>0</v>
      </c>
      <c r="O82">
        <v>1</v>
      </c>
      <c r="P82">
        <v>1</v>
      </c>
      <c r="Q82">
        <v>1</v>
      </c>
      <c r="R82">
        <v>18</v>
      </c>
      <c r="S82">
        <v>0.30629831600000001</v>
      </c>
      <c r="T82">
        <v>99</v>
      </c>
      <c r="U82">
        <v>0</v>
      </c>
      <c r="V82">
        <v>0</v>
      </c>
      <c r="W82">
        <v>0</v>
      </c>
      <c r="X82">
        <v>0</v>
      </c>
      <c r="Y82">
        <v>0</v>
      </c>
      <c r="Z82">
        <v>0</v>
      </c>
      <c r="AA82">
        <v>0</v>
      </c>
      <c r="AB82">
        <v>0</v>
      </c>
      <c r="AC82">
        <v>0</v>
      </c>
      <c r="AD82">
        <v>0</v>
      </c>
      <c r="AE82">
        <v>0</v>
      </c>
      <c r="AF82">
        <v>0</v>
      </c>
      <c r="AG82">
        <v>0</v>
      </c>
      <c r="AH82">
        <v>0</v>
      </c>
      <c r="AI82">
        <v>0</v>
      </c>
      <c r="AJ82">
        <v>0</v>
      </c>
      <c r="AK82">
        <v>0</v>
      </c>
      <c r="AL82">
        <v>0</v>
      </c>
      <c r="AM82">
        <v>0</v>
      </c>
      <c r="AN82">
        <v>0</v>
      </c>
      <c r="AO82">
        <v>0</v>
      </c>
      <c r="AP82">
        <v>1</v>
      </c>
      <c r="AQ82" t="s">
        <v>38</v>
      </c>
      <c r="AR82">
        <v>49</v>
      </c>
      <c r="AS82">
        <v>234</v>
      </c>
      <c r="AT82">
        <v>274</v>
      </c>
      <c r="AU82">
        <v>0.145985401459854</v>
      </c>
      <c r="AV82" s="2">
        <v>44598</v>
      </c>
      <c r="AW82">
        <v>5.5555555555555587E-2</v>
      </c>
      <c r="AX82" t="s">
        <v>61</v>
      </c>
      <c r="AY82">
        <v>0.21739130434782611</v>
      </c>
      <c r="AZ82">
        <v>0.1647727272727274</v>
      </c>
      <c r="BA82" t="s">
        <v>69</v>
      </c>
      <c r="BB82" t="s">
        <v>69</v>
      </c>
      <c r="BC82">
        <v>1</v>
      </c>
      <c r="BD82">
        <v>0</v>
      </c>
      <c r="BE82" t="s">
        <v>62</v>
      </c>
      <c r="BF82" t="s">
        <v>62</v>
      </c>
      <c r="BG82" t="s">
        <v>69</v>
      </c>
      <c r="BH82">
        <v>1</v>
      </c>
    </row>
    <row r="83" spans="1:60" x14ac:dyDescent="0.2">
      <c r="A83" t="s">
        <v>136</v>
      </c>
      <c r="B83">
        <v>11461</v>
      </c>
      <c r="C83" s="2">
        <v>44687</v>
      </c>
      <c r="D83" t="s">
        <v>78</v>
      </c>
      <c r="E83">
        <v>2022</v>
      </c>
      <c r="F83">
        <v>5</v>
      </c>
      <c r="G83">
        <v>2</v>
      </c>
      <c r="H83" t="s">
        <v>73</v>
      </c>
      <c r="I83">
        <v>0.39</v>
      </c>
      <c r="J83" t="s">
        <v>74</v>
      </c>
      <c r="K83" t="s">
        <v>168</v>
      </c>
      <c r="L83" s="6">
        <v>1</v>
      </c>
      <c r="M83" s="4">
        <v>1</v>
      </c>
      <c r="N83" s="4">
        <f t="shared" si="1"/>
        <v>0</v>
      </c>
      <c r="O83">
        <v>1</v>
      </c>
      <c r="P83">
        <v>1</v>
      </c>
      <c r="Q83">
        <v>1</v>
      </c>
      <c r="R83">
        <v>7</v>
      </c>
      <c r="S83">
        <v>0.98543000199999997</v>
      </c>
      <c r="T83">
        <v>7</v>
      </c>
      <c r="U83">
        <v>0</v>
      </c>
      <c r="V83">
        <v>0</v>
      </c>
      <c r="W83">
        <v>0</v>
      </c>
      <c r="X83">
        <v>0</v>
      </c>
      <c r="Y83">
        <v>0</v>
      </c>
      <c r="Z83">
        <v>0</v>
      </c>
      <c r="AA83">
        <v>0</v>
      </c>
      <c r="AB83">
        <v>1</v>
      </c>
      <c r="AC83">
        <v>0</v>
      </c>
      <c r="AD83">
        <v>0</v>
      </c>
      <c r="AE83">
        <v>0</v>
      </c>
      <c r="AF83">
        <v>0</v>
      </c>
      <c r="AG83">
        <v>0</v>
      </c>
      <c r="AH83">
        <v>0</v>
      </c>
      <c r="AI83">
        <v>0</v>
      </c>
      <c r="AJ83">
        <v>0</v>
      </c>
      <c r="AK83">
        <v>0</v>
      </c>
      <c r="AL83">
        <v>0</v>
      </c>
      <c r="AM83">
        <v>0</v>
      </c>
      <c r="AN83">
        <v>0</v>
      </c>
      <c r="AO83">
        <v>0</v>
      </c>
      <c r="AP83">
        <v>0</v>
      </c>
      <c r="AQ83" t="s">
        <v>24</v>
      </c>
      <c r="AR83">
        <v>30</v>
      </c>
      <c r="AS83">
        <v>149</v>
      </c>
      <c r="AT83">
        <v>274</v>
      </c>
      <c r="AU83">
        <v>0.45620437956204379</v>
      </c>
      <c r="AV83" s="2">
        <v>44682</v>
      </c>
      <c r="AW83">
        <v>3.3018867924528281E-2</v>
      </c>
      <c r="AX83" t="s">
        <v>61</v>
      </c>
      <c r="AY83">
        <v>0.1</v>
      </c>
      <c r="AZ83">
        <v>5.7251908396946792E-2</v>
      </c>
      <c r="BA83" t="s">
        <v>69</v>
      </c>
      <c r="BB83" t="s">
        <v>69</v>
      </c>
      <c r="BC83">
        <v>1</v>
      </c>
      <c r="BD83">
        <v>0</v>
      </c>
      <c r="BE83" t="s">
        <v>81</v>
      </c>
      <c r="BF83" t="s">
        <v>62</v>
      </c>
      <c r="BG83" t="s">
        <v>69</v>
      </c>
      <c r="BH83">
        <v>1</v>
      </c>
    </row>
    <row r="84" spans="1:60" x14ac:dyDescent="0.2">
      <c r="A84" t="s">
        <v>136</v>
      </c>
      <c r="B84">
        <v>6974</v>
      </c>
      <c r="C84" s="2">
        <v>44735</v>
      </c>
      <c r="D84" t="s">
        <v>126</v>
      </c>
      <c r="E84">
        <v>2022</v>
      </c>
      <c r="F84">
        <v>6</v>
      </c>
      <c r="G84">
        <v>2</v>
      </c>
      <c r="H84" t="s">
        <v>79</v>
      </c>
      <c r="I84">
        <v>0.3</v>
      </c>
      <c r="J84" t="s">
        <v>69</v>
      </c>
      <c r="K84" t="s">
        <v>169</v>
      </c>
      <c r="L84" s="6">
        <v>1</v>
      </c>
      <c r="M84" s="4">
        <v>1</v>
      </c>
      <c r="N84" s="4">
        <f t="shared" si="1"/>
        <v>0</v>
      </c>
      <c r="O84">
        <v>1</v>
      </c>
      <c r="P84">
        <v>1</v>
      </c>
      <c r="Q84">
        <v>1</v>
      </c>
      <c r="R84">
        <v>18</v>
      </c>
      <c r="S84">
        <v>0.45581463</v>
      </c>
      <c r="T84">
        <v>99</v>
      </c>
      <c r="U84">
        <v>0</v>
      </c>
      <c r="V84">
        <v>0</v>
      </c>
      <c r="W84">
        <v>0</v>
      </c>
      <c r="X84">
        <v>0</v>
      </c>
      <c r="Y84">
        <v>0</v>
      </c>
      <c r="Z84">
        <v>0</v>
      </c>
      <c r="AA84">
        <v>0</v>
      </c>
      <c r="AB84">
        <v>0</v>
      </c>
      <c r="AC84">
        <v>0</v>
      </c>
      <c r="AD84">
        <v>0</v>
      </c>
      <c r="AE84">
        <v>0</v>
      </c>
      <c r="AF84">
        <v>0</v>
      </c>
      <c r="AG84">
        <v>0</v>
      </c>
      <c r="AH84">
        <v>0</v>
      </c>
      <c r="AI84">
        <v>0</v>
      </c>
      <c r="AJ84">
        <v>0</v>
      </c>
      <c r="AK84">
        <v>0</v>
      </c>
      <c r="AL84">
        <v>0</v>
      </c>
      <c r="AM84">
        <v>0</v>
      </c>
      <c r="AN84">
        <v>0</v>
      </c>
      <c r="AO84">
        <v>0</v>
      </c>
      <c r="AP84">
        <v>1</v>
      </c>
      <c r="AQ84" t="s">
        <v>38</v>
      </c>
      <c r="AR84">
        <v>47</v>
      </c>
      <c r="AS84">
        <v>101</v>
      </c>
      <c r="AT84">
        <v>274</v>
      </c>
      <c r="AU84">
        <v>0.63138686131386856</v>
      </c>
      <c r="AV84" s="2">
        <v>44731</v>
      </c>
      <c r="AW84">
        <v>3.9473684210526362E-2</v>
      </c>
      <c r="AX84" t="s">
        <v>61</v>
      </c>
      <c r="AY84">
        <v>3.125E-2</v>
      </c>
      <c r="AZ84">
        <v>1.714285714285704E-2</v>
      </c>
      <c r="BA84" t="s">
        <v>69</v>
      </c>
      <c r="BB84" t="s">
        <v>69</v>
      </c>
      <c r="BC84">
        <v>1</v>
      </c>
      <c r="BD84">
        <v>0</v>
      </c>
      <c r="BE84" t="s">
        <v>81</v>
      </c>
      <c r="BF84" t="s">
        <v>62</v>
      </c>
      <c r="BG84" t="s">
        <v>69</v>
      </c>
      <c r="BH84">
        <v>1</v>
      </c>
    </row>
    <row r="85" spans="1:60" x14ac:dyDescent="0.2">
      <c r="A85" t="s">
        <v>136</v>
      </c>
      <c r="B85">
        <v>19189</v>
      </c>
      <c r="C85" s="2">
        <v>44809</v>
      </c>
      <c r="D85" t="s">
        <v>67</v>
      </c>
      <c r="E85">
        <v>2022</v>
      </c>
      <c r="F85">
        <v>9</v>
      </c>
      <c r="G85">
        <v>3</v>
      </c>
      <c r="H85" t="s">
        <v>58</v>
      </c>
      <c r="I85">
        <v>0.81</v>
      </c>
      <c r="J85" t="s">
        <v>59</v>
      </c>
      <c r="K85" t="s">
        <v>170</v>
      </c>
      <c r="L85" s="6">
        <v>1</v>
      </c>
      <c r="M85" s="4">
        <v>1</v>
      </c>
      <c r="N85" s="4">
        <f t="shared" si="1"/>
        <v>0</v>
      </c>
      <c r="O85">
        <v>1</v>
      </c>
      <c r="P85">
        <v>1</v>
      </c>
      <c r="Q85">
        <v>1</v>
      </c>
      <c r="R85">
        <v>18</v>
      </c>
      <c r="S85">
        <v>0.24493664500000001</v>
      </c>
      <c r="T85">
        <v>99</v>
      </c>
      <c r="U85">
        <v>0</v>
      </c>
      <c r="V85">
        <v>0</v>
      </c>
      <c r="W85">
        <v>0</v>
      </c>
      <c r="X85">
        <v>0</v>
      </c>
      <c r="Y85">
        <v>0</v>
      </c>
      <c r="Z85">
        <v>0</v>
      </c>
      <c r="AA85">
        <v>0</v>
      </c>
      <c r="AB85">
        <v>0</v>
      </c>
      <c r="AC85">
        <v>0</v>
      </c>
      <c r="AD85">
        <v>0</v>
      </c>
      <c r="AE85">
        <v>0</v>
      </c>
      <c r="AF85">
        <v>0</v>
      </c>
      <c r="AG85">
        <v>0</v>
      </c>
      <c r="AH85">
        <v>0</v>
      </c>
      <c r="AI85">
        <v>0</v>
      </c>
      <c r="AJ85">
        <v>0</v>
      </c>
      <c r="AK85">
        <v>0</v>
      </c>
      <c r="AL85">
        <v>0</v>
      </c>
      <c r="AM85">
        <v>0</v>
      </c>
      <c r="AN85">
        <v>0</v>
      </c>
      <c r="AO85">
        <v>0</v>
      </c>
      <c r="AP85">
        <v>1</v>
      </c>
      <c r="AQ85" t="s">
        <v>38</v>
      </c>
      <c r="AR85">
        <v>39</v>
      </c>
      <c r="AS85">
        <v>27</v>
      </c>
      <c r="AT85">
        <v>274</v>
      </c>
      <c r="AU85">
        <v>0.90145985401459849</v>
      </c>
      <c r="AV85" s="2">
        <v>44808</v>
      </c>
      <c r="AW85">
        <v>5.8479532163742763E-2</v>
      </c>
      <c r="AX85" t="s">
        <v>61</v>
      </c>
      <c r="AY85">
        <v>0.13043478260869559</v>
      </c>
      <c r="AZ85">
        <v>8.8262910798122124E-2</v>
      </c>
      <c r="BA85" t="s">
        <v>59</v>
      </c>
      <c r="BB85" t="s">
        <v>59</v>
      </c>
      <c r="BC85">
        <v>0</v>
      </c>
      <c r="BD85">
        <v>0</v>
      </c>
      <c r="BE85" t="s">
        <v>66</v>
      </c>
      <c r="BF85" t="s">
        <v>66</v>
      </c>
      <c r="BG85" t="s">
        <v>59</v>
      </c>
      <c r="BH85">
        <v>1</v>
      </c>
    </row>
    <row r="86" spans="1:60" x14ac:dyDescent="0.2">
      <c r="A86" t="s">
        <v>136</v>
      </c>
      <c r="B86">
        <v>7189</v>
      </c>
      <c r="C86" s="2">
        <v>44697</v>
      </c>
      <c r="D86" t="s">
        <v>78</v>
      </c>
      <c r="E86">
        <v>2022</v>
      </c>
      <c r="F86">
        <v>5</v>
      </c>
      <c r="G86">
        <v>2</v>
      </c>
      <c r="H86" t="s">
        <v>79</v>
      </c>
      <c r="I86">
        <v>0.3</v>
      </c>
      <c r="J86" t="s">
        <v>69</v>
      </c>
      <c r="K86" t="s">
        <v>171</v>
      </c>
      <c r="L86" s="6">
        <v>1</v>
      </c>
      <c r="M86" s="4">
        <v>1</v>
      </c>
      <c r="N86" s="4">
        <f t="shared" si="1"/>
        <v>0</v>
      </c>
      <c r="O86">
        <v>1</v>
      </c>
      <c r="P86">
        <v>1</v>
      </c>
      <c r="Q86">
        <v>1</v>
      </c>
      <c r="R86">
        <v>5</v>
      </c>
      <c r="S86">
        <v>0.97849381000000002</v>
      </c>
      <c r="T86">
        <v>5</v>
      </c>
      <c r="U86">
        <v>0</v>
      </c>
      <c r="V86">
        <v>0</v>
      </c>
      <c r="W86">
        <v>0</v>
      </c>
      <c r="X86">
        <v>0</v>
      </c>
      <c r="Y86">
        <v>0</v>
      </c>
      <c r="Z86">
        <v>1</v>
      </c>
      <c r="AA86">
        <v>0</v>
      </c>
      <c r="AB86">
        <v>0</v>
      </c>
      <c r="AC86">
        <v>0</v>
      </c>
      <c r="AD86">
        <v>0</v>
      </c>
      <c r="AE86">
        <v>0</v>
      </c>
      <c r="AF86">
        <v>0</v>
      </c>
      <c r="AG86">
        <v>0</v>
      </c>
      <c r="AH86">
        <v>0</v>
      </c>
      <c r="AI86">
        <v>0</v>
      </c>
      <c r="AJ86">
        <v>0</v>
      </c>
      <c r="AK86">
        <v>0</v>
      </c>
      <c r="AL86">
        <v>0</v>
      </c>
      <c r="AM86">
        <v>0</v>
      </c>
      <c r="AN86">
        <v>0</v>
      </c>
      <c r="AO86">
        <v>0</v>
      </c>
      <c r="AP86">
        <v>0</v>
      </c>
      <c r="AQ86" t="s">
        <v>22</v>
      </c>
      <c r="AR86">
        <v>37</v>
      </c>
      <c r="AS86">
        <v>139</v>
      </c>
      <c r="AT86">
        <v>274</v>
      </c>
      <c r="AU86">
        <v>0.49270072992700731</v>
      </c>
      <c r="AV86" s="2">
        <v>44696</v>
      </c>
      <c r="AW86">
        <v>2.6785714285714309E-2</v>
      </c>
      <c r="AX86" t="s">
        <v>61</v>
      </c>
      <c r="AY86">
        <v>0.1111111111111111</v>
      </c>
      <c r="AZ86">
        <v>1.714285714285704E-2</v>
      </c>
      <c r="BA86" t="s">
        <v>69</v>
      </c>
      <c r="BB86" t="s">
        <v>69</v>
      </c>
      <c r="BC86">
        <v>1</v>
      </c>
      <c r="BD86">
        <v>0</v>
      </c>
      <c r="BE86" t="s">
        <v>81</v>
      </c>
      <c r="BF86" t="s">
        <v>62</v>
      </c>
      <c r="BG86" t="s">
        <v>69</v>
      </c>
      <c r="BH86">
        <v>1</v>
      </c>
    </row>
    <row r="87" spans="1:60" x14ac:dyDescent="0.2">
      <c r="A87" t="s">
        <v>136</v>
      </c>
      <c r="B87">
        <v>10780</v>
      </c>
      <c r="C87" s="2">
        <v>44799</v>
      </c>
      <c r="D87" t="s">
        <v>63</v>
      </c>
      <c r="E87">
        <v>2022</v>
      </c>
      <c r="F87">
        <v>8</v>
      </c>
      <c r="G87">
        <v>3</v>
      </c>
      <c r="H87" t="s">
        <v>73</v>
      </c>
      <c r="I87">
        <v>0.39</v>
      </c>
      <c r="J87" t="s">
        <v>74</v>
      </c>
      <c r="K87" t="s">
        <v>172</v>
      </c>
      <c r="L87" s="6">
        <v>1</v>
      </c>
      <c r="M87" s="4">
        <v>0</v>
      </c>
      <c r="N87" s="4">
        <f t="shared" si="1"/>
        <v>1</v>
      </c>
      <c r="O87">
        <v>1</v>
      </c>
      <c r="P87">
        <v>1</v>
      </c>
      <c r="Q87">
        <v>1</v>
      </c>
      <c r="R87">
        <v>0</v>
      </c>
      <c r="S87">
        <v>0.88327747599999995</v>
      </c>
      <c r="T87">
        <v>0</v>
      </c>
      <c r="U87">
        <v>1</v>
      </c>
      <c r="V87">
        <v>0</v>
      </c>
      <c r="W87">
        <v>0</v>
      </c>
      <c r="X87">
        <v>0</v>
      </c>
      <c r="Y87">
        <v>0</v>
      </c>
      <c r="Z87">
        <v>0</v>
      </c>
      <c r="AA87">
        <v>0</v>
      </c>
      <c r="AB87">
        <v>0</v>
      </c>
      <c r="AC87">
        <v>0</v>
      </c>
      <c r="AD87">
        <v>0</v>
      </c>
      <c r="AE87">
        <v>0</v>
      </c>
      <c r="AF87">
        <v>0</v>
      </c>
      <c r="AG87">
        <v>0</v>
      </c>
      <c r="AH87">
        <v>0</v>
      </c>
      <c r="AI87">
        <v>0</v>
      </c>
      <c r="AJ87">
        <v>0</v>
      </c>
      <c r="AK87">
        <v>0</v>
      </c>
      <c r="AL87">
        <v>0</v>
      </c>
      <c r="AM87">
        <v>0</v>
      </c>
      <c r="AN87">
        <v>0</v>
      </c>
      <c r="AO87">
        <v>0</v>
      </c>
      <c r="AP87">
        <v>0</v>
      </c>
      <c r="AQ87" t="s">
        <v>17</v>
      </c>
      <c r="AR87">
        <v>27</v>
      </c>
      <c r="AS87">
        <v>37</v>
      </c>
      <c r="AT87">
        <v>274</v>
      </c>
      <c r="AU87">
        <v>0.86496350364963503</v>
      </c>
      <c r="AV87" s="2">
        <v>44794</v>
      </c>
      <c r="AW87">
        <v>5.3830227743271238E-2</v>
      </c>
      <c r="AX87" t="s">
        <v>61</v>
      </c>
      <c r="AY87">
        <v>0.10606060606060611</v>
      </c>
      <c r="AZ87">
        <v>5.7251908396946792E-2</v>
      </c>
      <c r="BA87" t="s">
        <v>69</v>
      </c>
      <c r="BB87" t="s">
        <v>69</v>
      </c>
      <c r="BC87">
        <v>1</v>
      </c>
      <c r="BD87">
        <v>0</v>
      </c>
      <c r="BE87" t="s">
        <v>66</v>
      </c>
      <c r="BF87" t="s">
        <v>66</v>
      </c>
      <c r="BG87" t="s">
        <v>69</v>
      </c>
      <c r="BH87">
        <v>1</v>
      </c>
    </row>
    <row r="88" spans="1:60" x14ac:dyDescent="0.2">
      <c r="A88" t="s">
        <v>136</v>
      </c>
      <c r="B88">
        <v>21131</v>
      </c>
      <c r="C88" s="2">
        <v>44817</v>
      </c>
      <c r="D88" t="s">
        <v>67</v>
      </c>
      <c r="E88">
        <v>2022</v>
      </c>
      <c r="F88">
        <v>9</v>
      </c>
      <c r="G88">
        <v>3</v>
      </c>
      <c r="H88" t="s">
        <v>68</v>
      </c>
      <c r="I88">
        <v>0.09</v>
      </c>
      <c r="J88" t="s">
        <v>69</v>
      </c>
      <c r="K88" t="s">
        <v>173</v>
      </c>
      <c r="L88" s="6">
        <v>1</v>
      </c>
      <c r="M88" s="4">
        <v>1</v>
      </c>
      <c r="N88" s="4">
        <f t="shared" si="1"/>
        <v>0</v>
      </c>
      <c r="O88">
        <v>1</v>
      </c>
      <c r="P88">
        <v>1</v>
      </c>
      <c r="Q88">
        <v>1</v>
      </c>
      <c r="R88">
        <v>18</v>
      </c>
      <c r="S88">
        <v>0.261807293</v>
      </c>
      <c r="T88">
        <v>99</v>
      </c>
      <c r="U88">
        <v>0</v>
      </c>
      <c r="V88">
        <v>0</v>
      </c>
      <c r="W88">
        <v>0</v>
      </c>
      <c r="X88">
        <v>0</v>
      </c>
      <c r="Y88">
        <v>0</v>
      </c>
      <c r="Z88">
        <v>0</v>
      </c>
      <c r="AA88">
        <v>0</v>
      </c>
      <c r="AB88">
        <v>0</v>
      </c>
      <c r="AC88">
        <v>0</v>
      </c>
      <c r="AD88">
        <v>0</v>
      </c>
      <c r="AE88">
        <v>0</v>
      </c>
      <c r="AF88">
        <v>0</v>
      </c>
      <c r="AG88">
        <v>0</v>
      </c>
      <c r="AH88">
        <v>0</v>
      </c>
      <c r="AI88">
        <v>0</v>
      </c>
      <c r="AJ88">
        <v>0</v>
      </c>
      <c r="AK88">
        <v>0</v>
      </c>
      <c r="AL88">
        <v>0</v>
      </c>
      <c r="AM88">
        <v>0</v>
      </c>
      <c r="AN88">
        <v>0</v>
      </c>
      <c r="AO88">
        <v>0</v>
      </c>
      <c r="AP88">
        <v>1</v>
      </c>
      <c r="AQ88" t="s">
        <v>38</v>
      </c>
      <c r="AR88">
        <v>41</v>
      </c>
      <c r="AS88">
        <v>19</v>
      </c>
      <c r="AT88">
        <v>274</v>
      </c>
      <c r="AU88">
        <v>0.93065693430656937</v>
      </c>
      <c r="AV88" s="2">
        <v>44815</v>
      </c>
      <c r="AW88">
        <v>4.0955631399317419E-2</v>
      </c>
      <c r="AX88" t="s">
        <v>61</v>
      </c>
      <c r="AY88">
        <v>4.9999999999999989E-2</v>
      </c>
      <c r="AZ88">
        <v>3.7735849056603571E-2</v>
      </c>
      <c r="BA88" t="s">
        <v>69</v>
      </c>
      <c r="BB88" t="s">
        <v>69</v>
      </c>
      <c r="BC88">
        <v>1</v>
      </c>
      <c r="BD88">
        <v>0</v>
      </c>
      <c r="BE88" t="s">
        <v>66</v>
      </c>
      <c r="BF88" t="s">
        <v>66</v>
      </c>
      <c r="BG88" t="s">
        <v>69</v>
      </c>
      <c r="BH88">
        <v>1</v>
      </c>
    </row>
    <row r="89" spans="1:60" x14ac:dyDescent="0.2">
      <c r="A89" t="s">
        <v>136</v>
      </c>
      <c r="B89">
        <v>7701</v>
      </c>
      <c r="C89" s="2">
        <v>44573</v>
      </c>
      <c r="D89" t="s">
        <v>88</v>
      </c>
      <c r="E89">
        <v>2022</v>
      </c>
      <c r="F89">
        <v>1</v>
      </c>
      <c r="G89">
        <v>1</v>
      </c>
      <c r="H89" t="s">
        <v>79</v>
      </c>
      <c r="I89">
        <v>0.3</v>
      </c>
      <c r="J89" t="s">
        <v>69</v>
      </c>
      <c r="K89" t="s">
        <v>174</v>
      </c>
      <c r="L89" s="6">
        <v>1</v>
      </c>
      <c r="M89" s="4">
        <v>1</v>
      </c>
      <c r="N89" s="4">
        <f t="shared" si="1"/>
        <v>0</v>
      </c>
      <c r="O89">
        <v>1</v>
      </c>
      <c r="P89">
        <v>1</v>
      </c>
      <c r="Q89">
        <v>1</v>
      </c>
      <c r="R89">
        <v>7</v>
      </c>
      <c r="S89">
        <v>0.99306559599999999</v>
      </c>
      <c r="T89">
        <v>7</v>
      </c>
      <c r="U89">
        <v>0</v>
      </c>
      <c r="V89">
        <v>0</v>
      </c>
      <c r="W89">
        <v>0</v>
      </c>
      <c r="X89">
        <v>0</v>
      </c>
      <c r="Y89">
        <v>0</v>
      </c>
      <c r="Z89">
        <v>0</v>
      </c>
      <c r="AA89">
        <v>0</v>
      </c>
      <c r="AB89">
        <v>1</v>
      </c>
      <c r="AC89">
        <v>0</v>
      </c>
      <c r="AD89">
        <v>0</v>
      </c>
      <c r="AE89">
        <v>0</v>
      </c>
      <c r="AF89">
        <v>0</v>
      </c>
      <c r="AG89">
        <v>0</v>
      </c>
      <c r="AH89">
        <v>0</v>
      </c>
      <c r="AI89">
        <v>0</v>
      </c>
      <c r="AJ89">
        <v>0</v>
      </c>
      <c r="AK89">
        <v>0</v>
      </c>
      <c r="AL89">
        <v>0</v>
      </c>
      <c r="AM89">
        <v>0</v>
      </c>
      <c r="AN89">
        <v>0</v>
      </c>
      <c r="AO89">
        <v>0</v>
      </c>
      <c r="AP89">
        <v>0</v>
      </c>
      <c r="AQ89" t="s">
        <v>24</v>
      </c>
      <c r="AR89">
        <v>40</v>
      </c>
      <c r="AS89">
        <v>263</v>
      </c>
      <c r="AT89">
        <v>274</v>
      </c>
      <c r="AU89">
        <v>4.0145985401459847E-2</v>
      </c>
      <c r="AV89" s="2">
        <v>44570</v>
      </c>
      <c r="AW89">
        <v>0.1111111111111111</v>
      </c>
      <c r="AX89" t="s">
        <v>61</v>
      </c>
      <c r="AY89">
        <v>0.66666666666666663</v>
      </c>
      <c r="AZ89">
        <v>1.714285714285704E-2</v>
      </c>
      <c r="BA89" t="s">
        <v>69</v>
      </c>
      <c r="BB89" t="s">
        <v>69</v>
      </c>
      <c r="BC89">
        <v>1</v>
      </c>
      <c r="BD89">
        <v>0</v>
      </c>
      <c r="BE89" t="s">
        <v>62</v>
      </c>
      <c r="BF89" t="s">
        <v>62</v>
      </c>
      <c r="BG89" t="s">
        <v>69</v>
      </c>
      <c r="BH89">
        <v>1</v>
      </c>
    </row>
    <row r="90" spans="1:60" x14ac:dyDescent="0.2">
      <c r="A90" t="s">
        <v>136</v>
      </c>
      <c r="B90">
        <v>23447</v>
      </c>
      <c r="C90" s="2">
        <v>44819</v>
      </c>
      <c r="D90" t="s">
        <v>67</v>
      </c>
      <c r="E90">
        <v>2022</v>
      </c>
      <c r="F90">
        <v>9</v>
      </c>
      <c r="G90">
        <v>3</v>
      </c>
      <c r="H90" t="s">
        <v>82</v>
      </c>
      <c r="I90">
        <v>0.05</v>
      </c>
      <c r="J90" t="s">
        <v>69</v>
      </c>
      <c r="K90" t="s">
        <v>175</v>
      </c>
      <c r="L90" s="6">
        <v>1</v>
      </c>
      <c r="M90" s="4">
        <v>1</v>
      </c>
      <c r="N90" s="4">
        <f t="shared" si="1"/>
        <v>0</v>
      </c>
      <c r="O90">
        <v>1</v>
      </c>
      <c r="P90">
        <v>1</v>
      </c>
      <c r="Q90">
        <v>1</v>
      </c>
      <c r="R90">
        <v>2</v>
      </c>
      <c r="S90">
        <v>0.91124212699999996</v>
      </c>
      <c r="T90">
        <v>2</v>
      </c>
      <c r="U90">
        <v>0</v>
      </c>
      <c r="V90">
        <v>0</v>
      </c>
      <c r="W90">
        <v>1</v>
      </c>
      <c r="X90">
        <v>0</v>
      </c>
      <c r="Y90">
        <v>0</v>
      </c>
      <c r="Z90">
        <v>0</v>
      </c>
      <c r="AA90">
        <v>0</v>
      </c>
      <c r="AB90">
        <v>0</v>
      </c>
      <c r="AC90">
        <v>0</v>
      </c>
      <c r="AD90">
        <v>0</v>
      </c>
      <c r="AE90">
        <v>0</v>
      </c>
      <c r="AF90">
        <v>0</v>
      </c>
      <c r="AG90">
        <v>0</v>
      </c>
      <c r="AH90">
        <v>0</v>
      </c>
      <c r="AI90">
        <v>0</v>
      </c>
      <c r="AJ90">
        <v>0</v>
      </c>
      <c r="AK90">
        <v>0</v>
      </c>
      <c r="AL90">
        <v>0</v>
      </c>
      <c r="AM90">
        <v>0</v>
      </c>
      <c r="AN90">
        <v>0</v>
      </c>
      <c r="AO90">
        <v>0</v>
      </c>
      <c r="AP90">
        <v>0</v>
      </c>
      <c r="AQ90" t="s">
        <v>19</v>
      </c>
      <c r="AR90">
        <v>44</v>
      </c>
      <c r="AS90">
        <v>17</v>
      </c>
      <c r="AT90">
        <v>274</v>
      </c>
      <c r="AU90">
        <v>0.93795620437956206</v>
      </c>
      <c r="AV90" s="2">
        <v>44815</v>
      </c>
      <c r="AW90">
        <v>4.0955631399317419E-2</v>
      </c>
      <c r="AX90" t="s">
        <v>61</v>
      </c>
      <c r="AY90">
        <v>3.8461538461538471E-2</v>
      </c>
      <c r="AZ90">
        <v>0.1647727272727274</v>
      </c>
      <c r="BA90" t="s">
        <v>69</v>
      </c>
      <c r="BB90" t="s">
        <v>69</v>
      </c>
      <c r="BC90">
        <v>1</v>
      </c>
      <c r="BD90">
        <v>0</v>
      </c>
      <c r="BE90" t="s">
        <v>66</v>
      </c>
      <c r="BF90" t="s">
        <v>66</v>
      </c>
      <c r="BG90" t="s">
        <v>69</v>
      </c>
      <c r="BH90">
        <v>1</v>
      </c>
    </row>
    <row r="91" spans="1:60" x14ac:dyDescent="0.2">
      <c r="A91" t="s">
        <v>27</v>
      </c>
      <c r="B91">
        <v>18929</v>
      </c>
      <c r="C91" s="2">
        <v>44914</v>
      </c>
      <c r="D91" t="s">
        <v>76</v>
      </c>
      <c r="E91">
        <v>2022</v>
      </c>
      <c r="F91">
        <v>12</v>
      </c>
      <c r="G91">
        <v>4</v>
      </c>
      <c r="H91" t="s">
        <v>58</v>
      </c>
      <c r="I91">
        <v>0.81</v>
      </c>
      <c r="J91" t="s">
        <v>59</v>
      </c>
      <c r="K91" t="s">
        <v>176</v>
      </c>
      <c r="L91" s="6">
        <v>1</v>
      </c>
      <c r="M91" s="4">
        <v>1</v>
      </c>
      <c r="N91" s="4">
        <f t="shared" si="1"/>
        <v>0</v>
      </c>
      <c r="O91">
        <v>1</v>
      </c>
      <c r="P91">
        <v>1</v>
      </c>
      <c r="Q91">
        <v>1</v>
      </c>
      <c r="R91">
        <v>10</v>
      </c>
      <c r="S91">
        <v>0.93417590900000003</v>
      </c>
      <c r="T91">
        <v>10</v>
      </c>
      <c r="U91">
        <v>0</v>
      </c>
      <c r="V91">
        <v>0</v>
      </c>
      <c r="W91">
        <v>0</v>
      </c>
      <c r="X91">
        <v>0</v>
      </c>
      <c r="Y91">
        <v>0</v>
      </c>
      <c r="Z91">
        <v>0</v>
      </c>
      <c r="AA91">
        <v>0</v>
      </c>
      <c r="AB91">
        <v>0</v>
      </c>
      <c r="AC91">
        <v>0</v>
      </c>
      <c r="AD91">
        <v>0</v>
      </c>
      <c r="AE91">
        <v>1</v>
      </c>
      <c r="AF91">
        <v>0</v>
      </c>
      <c r="AG91">
        <v>0</v>
      </c>
      <c r="AH91">
        <v>0</v>
      </c>
      <c r="AI91">
        <v>0</v>
      </c>
      <c r="AJ91">
        <v>0</v>
      </c>
      <c r="AK91">
        <v>0</v>
      </c>
      <c r="AL91">
        <v>0</v>
      </c>
      <c r="AM91">
        <v>0</v>
      </c>
      <c r="AN91">
        <v>0</v>
      </c>
      <c r="AO91">
        <v>0</v>
      </c>
      <c r="AP91">
        <v>0</v>
      </c>
      <c r="AQ91" t="s">
        <v>27</v>
      </c>
      <c r="AR91">
        <v>48</v>
      </c>
      <c r="AT91">
        <v>274</v>
      </c>
      <c r="AV91" s="2">
        <v>44913</v>
      </c>
      <c r="AW91">
        <v>3.0303030303030321E-2</v>
      </c>
      <c r="AX91" t="s">
        <v>61</v>
      </c>
      <c r="AY91">
        <v>0.27272727272727271</v>
      </c>
      <c r="AZ91">
        <v>8.8262910798122124E-2</v>
      </c>
      <c r="BA91" t="s">
        <v>59</v>
      </c>
      <c r="BB91" t="s">
        <v>59</v>
      </c>
      <c r="BC91">
        <v>0</v>
      </c>
      <c r="BD91">
        <v>0</v>
      </c>
      <c r="BE91" t="s">
        <v>62</v>
      </c>
      <c r="BF91" t="s">
        <v>62</v>
      </c>
      <c r="BG91" t="s">
        <v>59</v>
      </c>
      <c r="BH91">
        <v>1</v>
      </c>
    </row>
    <row r="92" spans="1:60" x14ac:dyDescent="0.2">
      <c r="A92" t="s">
        <v>27</v>
      </c>
      <c r="B92">
        <v>16133</v>
      </c>
      <c r="C92" s="2">
        <v>44812</v>
      </c>
      <c r="D92" t="s">
        <v>67</v>
      </c>
      <c r="E92">
        <v>2022</v>
      </c>
      <c r="F92">
        <v>9</v>
      </c>
      <c r="G92">
        <v>3</v>
      </c>
      <c r="H92" t="s">
        <v>115</v>
      </c>
      <c r="I92">
        <v>0.13</v>
      </c>
      <c r="J92" t="s">
        <v>69</v>
      </c>
      <c r="K92" t="s">
        <v>177</v>
      </c>
      <c r="L92" s="6">
        <v>1</v>
      </c>
      <c r="M92" s="4">
        <v>1</v>
      </c>
      <c r="N92" s="4">
        <f t="shared" si="1"/>
        <v>0</v>
      </c>
      <c r="O92">
        <v>1</v>
      </c>
      <c r="P92">
        <v>1</v>
      </c>
      <c r="Q92">
        <v>1</v>
      </c>
      <c r="R92">
        <v>10</v>
      </c>
      <c r="S92">
        <v>0.92926919500000005</v>
      </c>
      <c r="T92">
        <v>10</v>
      </c>
      <c r="U92">
        <v>0</v>
      </c>
      <c r="V92">
        <v>0</v>
      </c>
      <c r="W92">
        <v>0</v>
      </c>
      <c r="X92">
        <v>0</v>
      </c>
      <c r="Y92">
        <v>0</v>
      </c>
      <c r="Z92">
        <v>0</v>
      </c>
      <c r="AA92">
        <v>0</v>
      </c>
      <c r="AB92">
        <v>0</v>
      </c>
      <c r="AC92">
        <v>0</v>
      </c>
      <c r="AD92">
        <v>0</v>
      </c>
      <c r="AE92">
        <v>1</v>
      </c>
      <c r="AF92">
        <v>0</v>
      </c>
      <c r="AG92">
        <v>0</v>
      </c>
      <c r="AH92">
        <v>0</v>
      </c>
      <c r="AI92">
        <v>0</v>
      </c>
      <c r="AJ92">
        <v>0</v>
      </c>
      <c r="AK92">
        <v>0</v>
      </c>
      <c r="AL92">
        <v>0</v>
      </c>
      <c r="AM92">
        <v>0</v>
      </c>
      <c r="AN92">
        <v>0</v>
      </c>
      <c r="AO92">
        <v>0</v>
      </c>
      <c r="AP92">
        <v>0</v>
      </c>
      <c r="AQ92" t="s">
        <v>27</v>
      </c>
      <c r="AR92">
        <v>47</v>
      </c>
      <c r="AS92">
        <v>24</v>
      </c>
      <c r="AT92">
        <v>274</v>
      </c>
      <c r="AU92">
        <v>0.91240875912408759</v>
      </c>
      <c r="AV92" s="2">
        <v>44808</v>
      </c>
      <c r="AW92">
        <v>5.8479532163742763E-2</v>
      </c>
      <c r="AX92" t="s">
        <v>61</v>
      </c>
      <c r="AY92">
        <v>0.1428571428571429</v>
      </c>
      <c r="AZ92">
        <v>8.1967213114754106E-2</v>
      </c>
      <c r="BA92" t="s">
        <v>69</v>
      </c>
      <c r="BB92" t="s">
        <v>69</v>
      </c>
      <c r="BC92">
        <v>1</v>
      </c>
      <c r="BD92">
        <v>0</v>
      </c>
      <c r="BE92" t="s">
        <v>66</v>
      </c>
      <c r="BF92" t="s">
        <v>66</v>
      </c>
      <c r="BG92" t="s">
        <v>69</v>
      </c>
      <c r="BH92">
        <v>1</v>
      </c>
    </row>
    <row r="93" spans="1:60" x14ac:dyDescent="0.2">
      <c r="A93" t="s">
        <v>27</v>
      </c>
      <c r="B93">
        <v>20980</v>
      </c>
      <c r="C93" s="2">
        <v>44830</v>
      </c>
      <c r="D93" t="s">
        <v>67</v>
      </c>
      <c r="E93">
        <v>2022</v>
      </c>
      <c r="F93">
        <v>9</v>
      </c>
      <c r="G93">
        <v>3</v>
      </c>
      <c r="H93" t="s">
        <v>68</v>
      </c>
      <c r="I93">
        <v>0.09</v>
      </c>
      <c r="J93" t="s">
        <v>69</v>
      </c>
      <c r="K93" t="s">
        <v>178</v>
      </c>
      <c r="L93" s="6">
        <v>1</v>
      </c>
      <c r="M93" s="4">
        <v>1</v>
      </c>
      <c r="N93" s="4">
        <f t="shared" si="1"/>
        <v>0</v>
      </c>
      <c r="O93">
        <v>1</v>
      </c>
      <c r="P93">
        <v>1</v>
      </c>
      <c r="Q93">
        <v>1</v>
      </c>
      <c r="R93">
        <v>10</v>
      </c>
      <c r="S93">
        <v>0.94151705500000005</v>
      </c>
      <c r="T93">
        <v>10</v>
      </c>
      <c r="U93">
        <v>0</v>
      </c>
      <c r="V93">
        <v>0</v>
      </c>
      <c r="W93">
        <v>0</v>
      </c>
      <c r="X93">
        <v>0</v>
      </c>
      <c r="Y93">
        <v>0</v>
      </c>
      <c r="Z93">
        <v>0</v>
      </c>
      <c r="AA93">
        <v>0</v>
      </c>
      <c r="AB93">
        <v>0</v>
      </c>
      <c r="AC93">
        <v>0</v>
      </c>
      <c r="AD93">
        <v>0</v>
      </c>
      <c r="AE93">
        <v>1</v>
      </c>
      <c r="AF93">
        <v>0</v>
      </c>
      <c r="AG93">
        <v>0</v>
      </c>
      <c r="AH93">
        <v>0</v>
      </c>
      <c r="AI93">
        <v>0</v>
      </c>
      <c r="AJ93">
        <v>0</v>
      </c>
      <c r="AK93">
        <v>0</v>
      </c>
      <c r="AL93">
        <v>0</v>
      </c>
      <c r="AM93">
        <v>0</v>
      </c>
      <c r="AN93">
        <v>0</v>
      </c>
      <c r="AO93">
        <v>0</v>
      </c>
      <c r="AP93">
        <v>0</v>
      </c>
      <c r="AQ93" t="s">
        <v>27</v>
      </c>
      <c r="AR93">
        <v>41</v>
      </c>
      <c r="AS93">
        <v>6</v>
      </c>
      <c r="AT93">
        <v>274</v>
      </c>
      <c r="AU93">
        <v>0.97810218978102192</v>
      </c>
      <c r="AV93" s="2">
        <v>44829</v>
      </c>
      <c r="AW93">
        <v>5.4187192118226632E-2</v>
      </c>
      <c r="AX93" t="s">
        <v>61</v>
      </c>
      <c r="AY93">
        <v>2.9197080291970809E-2</v>
      </c>
      <c r="AZ93">
        <v>3.7735849056603571E-2</v>
      </c>
      <c r="BA93" t="s">
        <v>69</v>
      </c>
      <c r="BB93" t="s">
        <v>69</v>
      </c>
      <c r="BC93">
        <v>1</v>
      </c>
      <c r="BD93">
        <v>0</v>
      </c>
      <c r="BE93" t="s">
        <v>66</v>
      </c>
      <c r="BF93" t="s">
        <v>66</v>
      </c>
      <c r="BG93" t="s">
        <v>69</v>
      </c>
      <c r="BH93">
        <v>1</v>
      </c>
    </row>
    <row r="94" spans="1:60" x14ac:dyDescent="0.2">
      <c r="A94" t="s">
        <v>27</v>
      </c>
      <c r="B94">
        <v>23904</v>
      </c>
      <c r="C94" s="2">
        <v>44602</v>
      </c>
      <c r="D94" t="s">
        <v>57</v>
      </c>
      <c r="E94">
        <v>2022</v>
      </c>
      <c r="F94">
        <v>2</v>
      </c>
      <c r="G94">
        <v>1</v>
      </c>
      <c r="H94" t="s">
        <v>82</v>
      </c>
      <c r="I94">
        <v>0.05</v>
      </c>
      <c r="J94" t="s">
        <v>69</v>
      </c>
      <c r="K94" t="s">
        <v>179</v>
      </c>
      <c r="L94" s="6">
        <v>1</v>
      </c>
      <c r="M94" s="4">
        <v>1</v>
      </c>
      <c r="N94" s="4">
        <f t="shared" si="1"/>
        <v>0</v>
      </c>
      <c r="O94">
        <v>1</v>
      </c>
      <c r="P94">
        <v>1</v>
      </c>
      <c r="Q94">
        <v>1</v>
      </c>
      <c r="R94">
        <v>10</v>
      </c>
      <c r="S94">
        <v>0.62263387400000003</v>
      </c>
      <c r="T94">
        <v>10</v>
      </c>
      <c r="U94">
        <v>0</v>
      </c>
      <c r="V94">
        <v>0</v>
      </c>
      <c r="W94">
        <v>0</v>
      </c>
      <c r="X94">
        <v>0</v>
      </c>
      <c r="Y94">
        <v>0</v>
      </c>
      <c r="Z94">
        <v>0</v>
      </c>
      <c r="AA94">
        <v>0</v>
      </c>
      <c r="AB94">
        <v>0</v>
      </c>
      <c r="AC94">
        <v>0</v>
      </c>
      <c r="AD94">
        <v>0</v>
      </c>
      <c r="AE94">
        <v>1</v>
      </c>
      <c r="AF94">
        <v>0</v>
      </c>
      <c r="AG94">
        <v>0</v>
      </c>
      <c r="AH94">
        <v>0</v>
      </c>
      <c r="AI94">
        <v>0</v>
      </c>
      <c r="AJ94">
        <v>0</v>
      </c>
      <c r="AK94">
        <v>0</v>
      </c>
      <c r="AL94">
        <v>0</v>
      </c>
      <c r="AM94">
        <v>0</v>
      </c>
      <c r="AN94">
        <v>0</v>
      </c>
      <c r="AO94">
        <v>0</v>
      </c>
      <c r="AP94">
        <v>0</v>
      </c>
      <c r="AQ94" t="s">
        <v>27</v>
      </c>
      <c r="AR94">
        <v>49</v>
      </c>
      <c r="AS94">
        <v>234</v>
      </c>
      <c r="AT94">
        <v>274</v>
      </c>
      <c r="AU94">
        <v>0.145985401459854</v>
      </c>
      <c r="AV94" s="2">
        <v>44598</v>
      </c>
      <c r="AW94">
        <v>5.5555555555555587E-2</v>
      </c>
      <c r="AX94" t="s">
        <v>61</v>
      </c>
      <c r="AY94">
        <v>0.21739130434782611</v>
      </c>
      <c r="AZ94">
        <v>0.1647727272727274</v>
      </c>
      <c r="BA94" t="s">
        <v>69</v>
      </c>
      <c r="BB94" t="s">
        <v>69</v>
      </c>
      <c r="BC94">
        <v>1</v>
      </c>
      <c r="BD94">
        <v>0</v>
      </c>
      <c r="BE94" t="s">
        <v>62</v>
      </c>
      <c r="BF94" t="s">
        <v>62</v>
      </c>
      <c r="BG94" t="s">
        <v>69</v>
      </c>
      <c r="BH94">
        <v>1</v>
      </c>
    </row>
    <row r="95" spans="1:60" x14ac:dyDescent="0.2">
      <c r="A95" t="s">
        <v>27</v>
      </c>
      <c r="B95">
        <v>23794</v>
      </c>
      <c r="C95" s="2">
        <v>44655</v>
      </c>
      <c r="D95" t="s">
        <v>84</v>
      </c>
      <c r="E95">
        <v>2022</v>
      </c>
      <c r="F95">
        <v>4</v>
      </c>
      <c r="G95">
        <v>2</v>
      </c>
      <c r="H95" t="s">
        <v>82</v>
      </c>
      <c r="I95">
        <v>0.05</v>
      </c>
      <c r="J95" t="s">
        <v>69</v>
      </c>
      <c r="K95" t="s">
        <v>180</v>
      </c>
      <c r="L95" s="6">
        <v>0</v>
      </c>
      <c r="M95" s="4">
        <v>0</v>
      </c>
      <c r="N95" s="4">
        <f t="shared" si="1"/>
        <v>0</v>
      </c>
      <c r="O95">
        <v>1</v>
      </c>
      <c r="P95">
        <v>1</v>
      </c>
      <c r="Q95">
        <v>1</v>
      </c>
      <c r="R95">
        <v>10</v>
      </c>
      <c r="S95">
        <v>0.79839813699999995</v>
      </c>
      <c r="T95">
        <v>10</v>
      </c>
      <c r="U95">
        <v>0</v>
      </c>
      <c r="V95">
        <v>0</v>
      </c>
      <c r="W95">
        <v>0</v>
      </c>
      <c r="X95">
        <v>0</v>
      </c>
      <c r="Y95">
        <v>0</v>
      </c>
      <c r="Z95">
        <v>0</v>
      </c>
      <c r="AA95">
        <v>0</v>
      </c>
      <c r="AB95">
        <v>0</v>
      </c>
      <c r="AC95">
        <v>0</v>
      </c>
      <c r="AD95">
        <v>0</v>
      </c>
      <c r="AE95">
        <v>1</v>
      </c>
      <c r="AF95">
        <v>0</v>
      </c>
      <c r="AG95">
        <v>0</v>
      </c>
      <c r="AH95">
        <v>0</v>
      </c>
      <c r="AI95">
        <v>0</v>
      </c>
      <c r="AJ95">
        <v>0</v>
      </c>
      <c r="AK95">
        <v>0</v>
      </c>
      <c r="AL95">
        <v>0</v>
      </c>
      <c r="AM95">
        <v>0</v>
      </c>
      <c r="AN95">
        <v>0</v>
      </c>
      <c r="AO95">
        <v>0</v>
      </c>
      <c r="AP95">
        <v>0</v>
      </c>
      <c r="AQ95" t="s">
        <v>27</v>
      </c>
      <c r="AR95">
        <v>41</v>
      </c>
      <c r="AS95">
        <v>181</v>
      </c>
      <c r="AT95">
        <v>274</v>
      </c>
      <c r="AU95">
        <v>0.33941605839416061</v>
      </c>
      <c r="AV95" s="2">
        <v>44654</v>
      </c>
      <c r="AW95">
        <v>5.1813471502590643E-2</v>
      </c>
      <c r="AX95" t="s">
        <v>61</v>
      </c>
      <c r="AY95">
        <v>0.25</v>
      </c>
      <c r="AZ95">
        <v>0.1647727272727274</v>
      </c>
      <c r="BA95" t="s">
        <v>69</v>
      </c>
      <c r="BB95" t="s">
        <v>69</v>
      </c>
      <c r="BC95">
        <v>1</v>
      </c>
      <c r="BD95">
        <v>0</v>
      </c>
      <c r="BE95" t="s">
        <v>81</v>
      </c>
      <c r="BF95" t="s">
        <v>62</v>
      </c>
      <c r="BG95" t="s">
        <v>69</v>
      </c>
      <c r="BH95">
        <v>1</v>
      </c>
    </row>
    <row r="96" spans="1:60" x14ac:dyDescent="0.2">
      <c r="A96" t="s">
        <v>27</v>
      </c>
      <c r="B96">
        <v>333</v>
      </c>
      <c r="C96" s="2">
        <v>44813</v>
      </c>
      <c r="D96" t="s">
        <v>67</v>
      </c>
      <c r="E96">
        <v>2022</v>
      </c>
      <c r="F96">
        <v>9</v>
      </c>
      <c r="G96">
        <v>3</v>
      </c>
      <c r="H96" t="s">
        <v>64</v>
      </c>
      <c r="I96">
        <v>0.8</v>
      </c>
      <c r="J96" t="s">
        <v>59</v>
      </c>
      <c r="K96" t="s">
        <v>181</v>
      </c>
      <c r="L96" s="6">
        <v>1</v>
      </c>
      <c r="M96" s="4">
        <v>1</v>
      </c>
      <c r="N96" s="4">
        <f t="shared" si="1"/>
        <v>0</v>
      </c>
      <c r="O96">
        <v>1</v>
      </c>
      <c r="P96">
        <v>1</v>
      </c>
      <c r="Q96">
        <v>1</v>
      </c>
      <c r="R96">
        <v>10</v>
      </c>
      <c r="S96">
        <v>0.61448347599999997</v>
      </c>
      <c r="T96">
        <v>10</v>
      </c>
      <c r="U96">
        <v>0</v>
      </c>
      <c r="V96">
        <v>0</v>
      </c>
      <c r="W96">
        <v>0</v>
      </c>
      <c r="X96">
        <v>0</v>
      </c>
      <c r="Y96">
        <v>0</v>
      </c>
      <c r="Z96">
        <v>0</v>
      </c>
      <c r="AA96">
        <v>0</v>
      </c>
      <c r="AB96">
        <v>0</v>
      </c>
      <c r="AC96">
        <v>0</v>
      </c>
      <c r="AD96">
        <v>0</v>
      </c>
      <c r="AE96">
        <v>1</v>
      </c>
      <c r="AF96">
        <v>0</v>
      </c>
      <c r="AG96">
        <v>0</v>
      </c>
      <c r="AH96">
        <v>0</v>
      </c>
      <c r="AI96">
        <v>0</v>
      </c>
      <c r="AJ96">
        <v>0</v>
      </c>
      <c r="AK96">
        <v>0</v>
      </c>
      <c r="AL96">
        <v>0</v>
      </c>
      <c r="AM96">
        <v>0</v>
      </c>
      <c r="AN96">
        <v>0</v>
      </c>
      <c r="AO96">
        <v>0</v>
      </c>
      <c r="AP96">
        <v>0</v>
      </c>
      <c r="AQ96" t="s">
        <v>27</v>
      </c>
      <c r="AR96">
        <v>49</v>
      </c>
      <c r="AS96">
        <v>23</v>
      </c>
      <c r="AT96">
        <v>274</v>
      </c>
      <c r="AU96">
        <v>0.91605839416058399</v>
      </c>
      <c r="AV96" s="2">
        <v>44808</v>
      </c>
      <c r="AW96">
        <v>5.8479532163742763E-2</v>
      </c>
      <c r="AX96" t="s">
        <v>61</v>
      </c>
      <c r="AY96">
        <v>9.6153846153846104E-2</v>
      </c>
      <c r="AZ96">
        <v>3.1182015953589399E-2</v>
      </c>
      <c r="BA96" t="s">
        <v>59</v>
      </c>
      <c r="BB96" t="s">
        <v>59</v>
      </c>
      <c r="BC96">
        <v>0</v>
      </c>
      <c r="BD96">
        <v>0</v>
      </c>
      <c r="BE96" t="s">
        <v>66</v>
      </c>
      <c r="BF96" t="s">
        <v>66</v>
      </c>
      <c r="BG96" t="s">
        <v>59</v>
      </c>
      <c r="BH96">
        <v>1</v>
      </c>
    </row>
    <row r="97" spans="1:60" x14ac:dyDescent="0.2">
      <c r="A97" t="s">
        <v>27</v>
      </c>
      <c r="B97">
        <v>20672</v>
      </c>
      <c r="C97" s="2">
        <v>44868</v>
      </c>
      <c r="D97" t="s">
        <v>182</v>
      </c>
      <c r="E97">
        <v>2022</v>
      </c>
      <c r="F97">
        <v>11</v>
      </c>
      <c r="G97">
        <v>4</v>
      </c>
      <c r="H97" t="s">
        <v>68</v>
      </c>
      <c r="I97">
        <v>0.09</v>
      </c>
      <c r="J97" t="s">
        <v>69</v>
      </c>
      <c r="K97" t="s">
        <v>183</v>
      </c>
      <c r="L97" s="6">
        <v>1</v>
      </c>
      <c r="M97" s="4">
        <v>1</v>
      </c>
      <c r="N97" s="4">
        <f t="shared" si="1"/>
        <v>0</v>
      </c>
      <c r="O97">
        <v>1</v>
      </c>
      <c r="P97">
        <v>1</v>
      </c>
      <c r="Q97">
        <v>1</v>
      </c>
      <c r="R97">
        <v>10</v>
      </c>
      <c r="S97">
        <v>0.92602342400000004</v>
      </c>
      <c r="T97">
        <v>10</v>
      </c>
      <c r="U97">
        <v>0</v>
      </c>
      <c r="V97">
        <v>0</v>
      </c>
      <c r="W97">
        <v>0</v>
      </c>
      <c r="X97">
        <v>0</v>
      </c>
      <c r="Y97">
        <v>0</v>
      </c>
      <c r="Z97">
        <v>0</v>
      </c>
      <c r="AA97">
        <v>0</v>
      </c>
      <c r="AB97">
        <v>0</v>
      </c>
      <c r="AC97">
        <v>0</v>
      </c>
      <c r="AD97">
        <v>0</v>
      </c>
      <c r="AE97">
        <v>1</v>
      </c>
      <c r="AF97">
        <v>0</v>
      </c>
      <c r="AG97">
        <v>0</v>
      </c>
      <c r="AH97">
        <v>0</v>
      </c>
      <c r="AI97">
        <v>0</v>
      </c>
      <c r="AJ97">
        <v>0</v>
      </c>
      <c r="AK97">
        <v>0</v>
      </c>
      <c r="AL97">
        <v>0</v>
      </c>
      <c r="AM97">
        <v>0</v>
      </c>
      <c r="AN97">
        <v>0</v>
      </c>
      <c r="AO97">
        <v>0</v>
      </c>
      <c r="AP97">
        <v>0</v>
      </c>
      <c r="AQ97" t="s">
        <v>27</v>
      </c>
      <c r="AR97">
        <v>27</v>
      </c>
      <c r="AT97">
        <v>274</v>
      </c>
      <c r="AV97" s="2">
        <v>44864</v>
      </c>
      <c r="AW97">
        <v>2.419354838709677E-2</v>
      </c>
      <c r="AX97" t="s">
        <v>61</v>
      </c>
      <c r="AY97">
        <v>0.23529411764705879</v>
      </c>
      <c r="AZ97">
        <v>3.7735849056603571E-2</v>
      </c>
      <c r="BA97" t="s">
        <v>69</v>
      </c>
      <c r="BB97" t="s">
        <v>69</v>
      </c>
      <c r="BC97">
        <v>1</v>
      </c>
      <c r="BD97">
        <v>0</v>
      </c>
      <c r="BE97" t="s">
        <v>62</v>
      </c>
      <c r="BF97" t="s">
        <v>62</v>
      </c>
      <c r="BG97" t="s">
        <v>69</v>
      </c>
      <c r="BH97">
        <v>1</v>
      </c>
    </row>
    <row r="98" spans="1:60" x14ac:dyDescent="0.2">
      <c r="A98" t="s">
        <v>27</v>
      </c>
      <c r="B98">
        <v>16182</v>
      </c>
      <c r="C98" s="2">
        <v>44764</v>
      </c>
      <c r="D98" t="s">
        <v>90</v>
      </c>
      <c r="E98">
        <v>2022</v>
      </c>
      <c r="F98">
        <v>7</v>
      </c>
      <c r="G98">
        <v>3</v>
      </c>
      <c r="H98" t="s">
        <v>115</v>
      </c>
      <c r="I98">
        <v>0.13</v>
      </c>
      <c r="J98" t="s">
        <v>69</v>
      </c>
      <c r="K98" t="s">
        <v>184</v>
      </c>
      <c r="L98" s="6">
        <v>1</v>
      </c>
      <c r="M98" s="4">
        <v>1</v>
      </c>
      <c r="N98" s="4">
        <f t="shared" si="1"/>
        <v>0</v>
      </c>
      <c r="O98">
        <v>1</v>
      </c>
      <c r="P98">
        <v>1</v>
      </c>
      <c r="Q98">
        <v>1</v>
      </c>
      <c r="R98">
        <v>10</v>
      </c>
      <c r="S98">
        <v>0.89617139099999998</v>
      </c>
      <c r="T98">
        <v>10</v>
      </c>
      <c r="U98">
        <v>0</v>
      </c>
      <c r="V98">
        <v>0</v>
      </c>
      <c r="W98">
        <v>0</v>
      </c>
      <c r="X98">
        <v>0</v>
      </c>
      <c r="Y98">
        <v>0</v>
      </c>
      <c r="Z98">
        <v>0</v>
      </c>
      <c r="AA98">
        <v>0</v>
      </c>
      <c r="AB98">
        <v>0</v>
      </c>
      <c r="AC98">
        <v>0</v>
      </c>
      <c r="AD98">
        <v>0</v>
      </c>
      <c r="AE98">
        <v>1</v>
      </c>
      <c r="AF98">
        <v>0</v>
      </c>
      <c r="AG98">
        <v>0</v>
      </c>
      <c r="AH98">
        <v>0</v>
      </c>
      <c r="AI98">
        <v>0</v>
      </c>
      <c r="AJ98">
        <v>0</v>
      </c>
      <c r="AK98">
        <v>0</v>
      </c>
      <c r="AL98">
        <v>0</v>
      </c>
      <c r="AM98">
        <v>0</v>
      </c>
      <c r="AN98">
        <v>0</v>
      </c>
      <c r="AO98">
        <v>0</v>
      </c>
      <c r="AP98">
        <v>0</v>
      </c>
      <c r="AQ98" t="s">
        <v>27</v>
      </c>
      <c r="AR98">
        <v>41</v>
      </c>
      <c r="AS98">
        <v>72</v>
      </c>
      <c r="AT98">
        <v>274</v>
      </c>
      <c r="AU98">
        <v>0.73722627737226276</v>
      </c>
      <c r="AV98" s="2">
        <v>44759</v>
      </c>
      <c r="AW98">
        <v>5.5555555555555573E-2</v>
      </c>
      <c r="AX98" t="s">
        <v>61</v>
      </c>
      <c r="AY98">
        <v>0.15384615384615391</v>
      </c>
      <c r="AZ98">
        <v>8.1967213114754106E-2</v>
      </c>
      <c r="BA98" t="s">
        <v>69</v>
      </c>
      <c r="BB98" t="s">
        <v>69</v>
      </c>
      <c r="BC98">
        <v>1</v>
      </c>
      <c r="BD98">
        <v>0</v>
      </c>
      <c r="BE98" t="s">
        <v>81</v>
      </c>
      <c r="BF98" t="s">
        <v>62</v>
      </c>
      <c r="BG98" t="s">
        <v>69</v>
      </c>
      <c r="BH98">
        <v>1</v>
      </c>
    </row>
    <row r="99" spans="1:60" x14ac:dyDescent="0.2">
      <c r="A99" t="s">
        <v>27</v>
      </c>
      <c r="B99">
        <v>16827</v>
      </c>
      <c r="C99" s="2">
        <v>44832</v>
      </c>
      <c r="D99" t="s">
        <v>67</v>
      </c>
      <c r="E99">
        <v>2022</v>
      </c>
      <c r="F99">
        <v>9</v>
      </c>
      <c r="G99">
        <v>3</v>
      </c>
      <c r="H99" t="s">
        <v>139</v>
      </c>
      <c r="I99">
        <v>0.7</v>
      </c>
      <c r="J99" t="s">
        <v>74</v>
      </c>
      <c r="K99" t="s">
        <v>185</v>
      </c>
      <c r="L99" s="6">
        <v>1</v>
      </c>
      <c r="M99" s="4">
        <v>1</v>
      </c>
      <c r="N99" s="4">
        <f t="shared" si="1"/>
        <v>0</v>
      </c>
      <c r="O99">
        <v>1</v>
      </c>
      <c r="P99">
        <v>1</v>
      </c>
      <c r="Q99">
        <v>1</v>
      </c>
      <c r="R99">
        <v>10</v>
      </c>
      <c r="S99">
        <v>0.60971277999999995</v>
      </c>
      <c r="T99">
        <v>10</v>
      </c>
      <c r="U99">
        <v>0</v>
      </c>
      <c r="V99">
        <v>0</v>
      </c>
      <c r="W99">
        <v>0</v>
      </c>
      <c r="X99">
        <v>0</v>
      </c>
      <c r="Y99">
        <v>0</v>
      </c>
      <c r="Z99">
        <v>0</v>
      </c>
      <c r="AA99">
        <v>0</v>
      </c>
      <c r="AB99">
        <v>0</v>
      </c>
      <c r="AC99">
        <v>0</v>
      </c>
      <c r="AD99">
        <v>0</v>
      </c>
      <c r="AE99">
        <v>1</v>
      </c>
      <c r="AF99">
        <v>0</v>
      </c>
      <c r="AG99">
        <v>0</v>
      </c>
      <c r="AH99">
        <v>0</v>
      </c>
      <c r="AI99">
        <v>0</v>
      </c>
      <c r="AJ99">
        <v>0</v>
      </c>
      <c r="AK99">
        <v>0</v>
      </c>
      <c r="AL99">
        <v>0</v>
      </c>
      <c r="AM99">
        <v>0</v>
      </c>
      <c r="AN99">
        <v>0</v>
      </c>
      <c r="AO99">
        <v>0</v>
      </c>
      <c r="AP99">
        <v>0</v>
      </c>
      <c r="AQ99" t="s">
        <v>27</v>
      </c>
      <c r="AR99">
        <v>38</v>
      </c>
      <c r="AS99">
        <v>4</v>
      </c>
      <c r="AT99">
        <v>274</v>
      </c>
      <c r="AU99">
        <v>0.98540145985401462</v>
      </c>
      <c r="AV99" s="2">
        <v>44829</v>
      </c>
      <c r="AW99">
        <v>5.4187192118226632E-2</v>
      </c>
      <c r="AX99" t="s">
        <v>61</v>
      </c>
      <c r="AY99">
        <v>4.5454545454545463E-2</v>
      </c>
      <c r="AZ99">
        <v>1.696832579185524E-2</v>
      </c>
      <c r="BA99" t="s">
        <v>59</v>
      </c>
      <c r="BB99" t="s">
        <v>74</v>
      </c>
      <c r="BC99">
        <v>0</v>
      </c>
      <c r="BD99">
        <v>1</v>
      </c>
      <c r="BE99" t="s">
        <v>66</v>
      </c>
      <c r="BF99" t="s">
        <v>66</v>
      </c>
      <c r="BG99" t="s">
        <v>74</v>
      </c>
      <c r="BH99">
        <v>1</v>
      </c>
    </row>
    <row r="100" spans="1:60" x14ac:dyDescent="0.2">
      <c r="A100" t="s">
        <v>27</v>
      </c>
      <c r="B100">
        <v>11533</v>
      </c>
      <c r="C100" s="2">
        <v>44677</v>
      </c>
      <c r="D100" t="s">
        <v>84</v>
      </c>
      <c r="E100">
        <v>2022</v>
      </c>
      <c r="F100">
        <v>4</v>
      </c>
      <c r="G100">
        <v>2</v>
      </c>
      <c r="H100" t="s">
        <v>73</v>
      </c>
      <c r="I100">
        <v>0.39</v>
      </c>
      <c r="J100" t="s">
        <v>74</v>
      </c>
      <c r="K100" t="s">
        <v>186</v>
      </c>
      <c r="L100" s="6">
        <v>0</v>
      </c>
      <c r="M100" s="4">
        <v>0</v>
      </c>
      <c r="N100" s="4">
        <f t="shared" si="1"/>
        <v>0</v>
      </c>
      <c r="O100">
        <v>1</v>
      </c>
      <c r="P100">
        <v>1</v>
      </c>
      <c r="Q100">
        <v>1</v>
      </c>
      <c r="R100">
        <v>10</v>
      </c>
      <c r="S100">
        <v>0.61876171800000002</v>
      </c>
      <c r="T100">
        <v>10</v>
      </c>
      <c r="U100">
        <v>0</v>
      </c>
      <c r="V100">
        <v>0</v>
      </c>
      <c r="W100">
        <v>0</v>
      </c>
      <c r="X100">
        <v>0</v>
      </c>
      <c r="Y100">
        <v>0</v>
      </c>
      <c r="Z100">
        <v>0</v>
      </c>
      <c r="AA100">
        <v>0</v>
      </c>
      <c r="AB100">
        <v>0</v>
      </c>
      <c r="AC100">
        <v>0</v>
      </c>
      <c r="AD100">
        <v>0</v>
      </c>
      <c r="AE100">
        <v>1</v>
      </c>
      <c r="AF100">
        <v>0</v>
      </c>
      <c r="AG100">
        <v>0</v>
      </c>
      <c r="AH100">
        <v>0</v>
      </c>
      <c r="AI100">
        <v>0</v>
      </c>
      <c r="AJ100">
        <v>0</v>
      </c>
      <c r="AK100">
        <v>0</v>
      </c>
      <c r="AL100">
        <v>0</v>
      </c>
      <c r="AM100">
        <v>0</v>
      </c>
      <c r="AN100">
        <v>0</v>
      </c>
      <c r="AO100">
        <v>0</v>
      </c>
      <c r="AP100">
        <v>0</v>
      </c>
      <c r="AQ100" t="s">
        <v>27</v>
      </c>
      <c r="AR100">
        <v>36</v>
      </c>
      <c r="AS100">
        <v>159</v>
      </c>
      <c r="AT100">
        <v>274</v>
      </c>
      <c r="AU100">
        <v>0.41970802919708028</v>
      </c>
      <c r="AV100" s="2">
        <v>44675</v>
      </c>
      <c r="AW100">
        <v>5.8479532163742777E-2</v>
      </c>
      <c r="AX100" t="s">
        <v>61</v>
      </c>
      <c r="AY100">
        <v>5.2631578947368453E-2</v>
      </c>
      <c r="AZ100">
        <v>5.7251908396946792E-2</v>
      </c>
      <c r="BA100" t="s">
        <v>69</v>
      </c>
      <c r="BB100" t="s">
        <v>69</v>
      </c>
      <c r="BC100">
        <v>1</v>
      </c>
      <c r="BD100">
        <v>0</v>
      </c>
      <c r="BE100" t="s">
        <v>81</v>
      </c>
      <c r="BF100" t="s">
        <v>62</v>
      </c>
      <c r="BG100" t="s">
        <v>69</v>
      </c>
      <c r="BH100">
        <v>1</v>
      </c>
    </row>
    <row r="101" spans="1:60" x14ac:dyDescent="0.2">
      <c r="A101" t="s">
        <v>21</v>
      </c>
      <c r="B101">
        <v>11884</v>
      </c>
      <c r="C101" s="2">
        <v>44585</v>
      </c>
      <c r="D101" t="s">
        <v>88</v>
      </c>
      <c r="E101">
        <v>2022</v>
      </c>
      <c r="F101">
        <v>1</v>
      </c>
      <c r="G101">
        <v>1</v>
      </c>
      <c r="H101" t="s">
        <v>73</v>
      </c>
      <c r="I101">
        <v>0.39</v>
      </c>
      <c r="J101" t="s">
        <v>74</v>
      </c>
      <c r="K101" t="s">
        <v>187</v>
      </c>
      <c r="L101" s="6">
        <v>0</v>
      </c>
      <c r="M101" s="4">
        <v>0</v>
      </c>
      <c r="N101" s="4">
        <f t="shared" si="1"/>
        <v>0</v>
      </c>
      <c r="O101">
        <v>1</v>
      </c>
      <c r="P101">
        <v>1</v>
      </c>
      <c r="Q101">
        <v>1</v>
      </c>
      <c r="R101">
        <v>4</v>
      </c>
      <c r="S101">
        <v>0.94931709799999997</v>
      </c>
      <c r="T101">
        <v>4</v>
      </c>
      <c r="U101">
        <v>0</v>
      </c>
      <c r="V101">
        <v>0</v>
      </c>
      <c r="W101">
        <v>0</v>
      </c>
      <c r="X101">
        <v>0</v>
      </c>
      <c r="Y101">
        <v>1</v>
      </c>
      <c r="Z101">
        <v>0</v>
      </c>
      <c r="AA101">
        <v>0</v>
      </c>
      <c r="AB101">
        <v>0</v>
      </c>
      <c r="AC101">
        <v>0</v>
      </c>
      <c r="AD101">
        <v>0</v>
      </c>
      <c r="AE101">
        <v>0</v>
      </c>
      <c r="AF101">
        <v>0</v>
      </c>
      <c r="AG101">
        <v>0</v>
      </c>
      <c r="AH101">
        <v>0</v>
      </c>
      <c r="AI101">
        <v>0</v>
      </c>
      <c r="AJ101">
        <v>0</v>
      </c>
      <c r="AK101">
        <v>0</v>
      </c>
      <c r="AL101">
        <v>0</v>
      </c>
      <c r="AM101">
        <v>0</v>
      </c>
      <c r="AN101">
        <v>0</v>
      </c>
      <c r="AO101">
        <v>0</v>
      </c>
      <c r="AP101">
        <v>0</v>
      </c>
      <c r="AQ101" t="s">
        <v>21</v>
      </c>
      <c r="AR101">
        <v>45</v>
      </c>
      <c r="AS101">
        <v>251</v>
      </c>
      <c r="AT101">
        <v>274</v>
      </c>
      <c r="AU101">
        <v>8.3941605839416053E-2</v>
      </c>
      <c r="AV101" s="2">
        <v>44584</v>
      </c>
      <c r="AW101">
        <v>3.4090909090909068E-2</v>
      </c>
      <c r="AX101" t="s">
        <v>61</v>
      </c>
      <c r="AY101">
        <v>5.6603773584905669E-2</v>
      </c>
      <c r="AZ101">
        <v>5.7251908396946792E-2</v>
      </c>
      <c r="BA101" t="s">
        <v>69</v>
      </c>
      <c r="BB101" t="s">
        <v>69</v>
      </c>
      <c r="BC101">
        <v>1</v>
      </c>
      <c r="BD101">
        <v>0</v>
      </c>
      <c r="BE101" t="s">
        <v>62</v>
      </c>
      <c r="BF101" t="s">
        <v>62</v>
      </c>
      <c r="BG101" t="s">
        <v>69</v>
      </c>
      <c r="BH101">
        <v>1</v>
      </c>
    </row>
    <row r="102" spans="1:60" x14ac:dyDescent="0.2">
      <c r="A102" t="s">
        <v>21</v>
      </c>
      <c r="B102">
        <v>23586</v>
      </c>
      <c r="C102" s="2">
        <v>44802</v>
      </c>
      <c r="D102" t="s">
        <v>63</v>
      </c>
      <c r="E102">
        <v>2022</v>
      </c>
      <c r="F102">
        <v>8</v>
      </c>
      <c r="G102">
        <v>3</v>
      </c>
      <c r="H102" t="s">
        <v>82</v>
      </c>
      <c r="I102">
        <v>0.05</v>
      </c>
      <c r="J102" t="s">
        <v>69</v>
      </c>
      <c r="K102" t="s">
        <v>188</v>
      </c>
      <c r="L102" s="6">
        <v>1</v>
      </c>
      <c r="M102" s="4">
        <v>1</v>
      </c>
      <c r="N102" s="4">
        <f t="shared" si="1"/>
        <v>0</v>
      </c>
      <c r="O102">
        <v>1</v>
      </c>
      <c r="P102">
        <v>1</v>
      </c>
      <c r="Q102">
        <v>1</v>
      </c>
      <c r="R102">
        <v>4</v>
      </c>
      <c r="S102">
        <v>0.91254913800000004</v>
      </c>
      <c r="T102">
        <v>4</v>
      </c>
      <c r="U102">
        <v>0</v>
      </c>
      <c r="V102">
        <v>0</v>
      </c>
      <c r="W102">
        <v>0</v>
      </c>
      <c r="X102">
        <v>0</v>
      </c>
      <c r="Y102">
        <v>1</v>
      </c>
      <c r="Z102">
        <v>0</v>
      </c>
      <c r="AA102">
        <v>0</v>
      </c>
      <c r="AB102">
        <v>0</v>
      </c>
      <c r="AC102">
        <v>0</v>
      </c>
      <c r="AD102">
        <v>0</v>
      </c>
      <c r="AE102">
        <v>0</v>
      </c>
      <c r="AF102">
        <v>0</v>
      </c>
      <c r="AG102">
        <v>0</v>
      </c>
      <c r="AH102">
        <v>0</v>
      </c>
      <c r="AI102">
        <v>0</v>
      </c>
      <c r="AJ102">
        <v>0</v>
      </c>
      <c r="AK102">
        <v>0</v>
      </c>
      <c r="AL102">
        <v>0</v>
      </c>
      <c r="AM102">
        <v>0</v>
      </c>
      <c r="AN102">
        <v>0</v>
      </c>
      <c r="AO102">
        <v>0</v>
      </c>
      <c r="AP102">
        <v>0</v>
      </c>
      <c r="AQ102" t="s">
        <v>21</v>
      </c>
      <c r="AR102">
        <v>45</v>
      </c>
      <c r="AS102">
        <v>34</v>
      </c>
      <c r="AT102">
        <v>274</v>
      </c>
      <c r="AU102">
        <v>0.87591240875912413</v>
      </c>
      <c r="AV102" s="2">
        <v>44801</v>
      </c>
      <c r="AW102">
        <v>4.031007751937974E-2</v>
      </c>
      <c r="AX102" t="s">
        <v>61</v>
      </c>
      <c r="AY102">
        <v>0.17333333333333331</v>
      </c>
      <c r="AZ102">
        <v>0.1647727272727274</v>
      </c>
      <c r="BA102" t="s">
        <v>69</v>
      </c>
      <c r="BB102" t="s">
        <v>69</v>
      </c>
      <c r="BC102">
        <v>1</v>
      </c>
      <c r="BD102">
        <v>0</v>
      </c>
      <c r="BE102" t="s">
        <v>66</v>
      </c>
      <c r="BF102" t="s">
        <v>66</v>
      </c>
      <c r="BG102" t="s">
        <v>69</v>
      </c>
      <c r="BH102">
        <v>1</v>
      </c>
    </row>
    <row r="103" spans="1:60" x14ac:dyDescent="0.2">
      <c r="A103" t="s">
        <v>21</v>
      </c>
      <c r="B103">
        <v>23887</v>
      </c>
      <c r="C103" s="2">
        <v>44608</v>
      </c>
      <c r="D103" t="s">
        <v>57</v>
      </c>
      <c r="E103">
        <v>2022</v>
      </c>
      <c r="F103">
        <v>2</v>
      </c>
      <c r="G103">
        <v>1</v>
      </c>
      <c r="H103" t="s">
        <v>82</v>
      </c>
      <c r="I103">
        <v>0.05</v>
      </c>
      <c r="J103" t="s">
        <v>69</v>
      </c>
      <c r="K103" t="s">
        <v>189</v>
      </c>
      <c r="L103" s="6">
        <v>1</v>
      </c>
      <c r="M103" s="4">
        <v>1</v>
      </c>
      <c r="N103" s="4">
        <f t="shared" si="1"/>
        <v>0</v>
      </c>
      <c r="O103">
        <v>1</v>
      </c>
      <c r="P103">
        <v>1</v>
      </c>
      <c r="Q103">
        <v>1</v>
      </c>
      <c r="R103">
        <v>4</v>
      </c>
      <c r="S103">
        <v>0.61893284299999995</v>
      </c>
      <c r="T103">
        <v>4</v>
      </c>
      <c r="U103">
        <v>0</v>
      </c>
      <c r="V103">
        <v>0</v>
      </c>
      <c r="W103">
        <v>0</v>
      </c>
      <c r="X103">
        <v>0</v>
      </c>
      <c r="Y103">
        <v>1</v>
      </c>
      <c r="Z103">
        <v>0</v>
      </c>
      <c r="AA103">
        <v>0</v>
      </c>
      <c r="AB103">
        <v>0</v>
      </c>
      <c r="AC103">
        <v>0</v>
      </c>
      <c r="AD103">
        <v>0</v>
      </c>
      <c r="AE103">
        <v>0</v>
      </c>
      <c r="AF103">
        <v>0</v>
      </c>
      <c r="AG103">
        <v>0</v>
      </c>
      <c r="AH103">
        <v>0</v>
      </c>
      <c r="AI103">
        <v>0</v>
      </c>
      <c r="AJ103">
        <v>0</v>
      </c>
      <c r="AK103">
        <v>0</v>
      </c>
      <c r="AL103">
        <v>0</v>
      </c>
      <c r="AM103">
        <v>0</v>
      </c>
      <c r="AN103">
        <v>0</v>
      </c>
      <c r="AO103">
        <v>0</v>
      </c>
      <c r="AP103">
        <v>0</v>
      </c>
      <c r="AQ103" t="s">
        <v>21</v>
      </c>
      <c r="AR103">
        <v>46</v>
      </c>
      <c r="AS103">
        <v>228</v>
      </c>
      <c r="AT103">
        <v>274</v>
      </c>
      <c r="AU103">
        <v>0.16788321167883211</v>
      </c>
      <c r="AV103" s="2">
        <v>44605</v>
      </c>
      <c r="AW103">
        <v>3.4285714285714308E-2</v>
      </c>
      <c r="AX103" t="s">
        <v>61</v>
      </c>
      <c r="AY103">
        <v>0.33333333333333343</v>
      </c>
      <c r="AZ103">
        <v>0.1647727272727274</v>
      </c>
      <c r="BA103" t="s">
        <v>69</v>
      </c>
      <c r="BB103" t="s">
        <v>69</v>
      </c>
      <c r="BC103">
        <v>1</v>
      </c>
      <c r="BD103">
        <v>0</v>
      </c>
      <c r="BE103" t="s">
        <v>62</v>
      </c>
      <c r="BF103" t="s">
        <v>62</v>
      </c>
      <c r="BG103" t="s">
        <v>69</v>
      </c>
      <c r="BH103">
        <v>1</v>
      </c>
    </row>
    <row r="104" spans="1:60" x14ac:dyDescent="0.2">
      <c r="A104" t="s">
        <v>21</v>
      </c>
      <c r="B104">
        <v>19930</v>
      </c>
      <c r="C104" s="2">
        <v>44572</v>
      </c>
      <c r="D104" t="s">
        <v>88</v>
      </c>
      <c r="E104">
        <v>2022</v>
      </c>
      <c r="F104">
        <v>1</v>
      </c>
      <c r="G104">
        <v>1</v>
      </c>
      <c r="H104" t="s">
        <v>58</v>
      </c>
      <c r="I104">
        <v>0.81</v>
      </c>
      <c r="J104" t="s">
        <v>59</v>
      </c>
      <c r="K104" t="s">
        <v>190</v>
      </c>
      <c r="L104" s="6">
        <v>0</v>
      </c>
      <c r="M104" s="4">
        <v>0</v>
      </c>
      <c r="N104" s="4">
        <f t="shared" si="1"/>
        <v>0</v>
      </c>
      <c r="O104">
        <v>1</v>
      </c>
      <c r="P104">
        <v>1</v>
      </c>
      <c r="Q104">
        <v>1</v>
      </c>
      <c r="R104">
        <v>4</v>
      </c>
      <c r="S104">
        <v>0.903277993</v>
      </c>
      <c r="T104">
        <v>4</v>
      </c>
      <c r="U104">
        <v>0</v>
      </c>
      <c r="V104">
        <v>0</v>
      </c>
      <c r="W104">
        <v>0</v>
      </c>
      <c r="X104">
        <v>0</v>
      </c>
      <c r="Y104">
        <v>1</v>
      </c>
      <c r="Z104">
        <v>0</v>
      </c>
      <c r="AA104">
        <v>0</v>
      </c>
      <c r="AB104">
        <v>0</v>
      </c>
      <c r="AC104">
        <v>0</v>
      </c>
      <c r="AD104">
        <v>0</v>
      </c>
      <c r="AE104">
        <v>0</v>
      </c>
      <c r="AF104">
        <v>0</v>
      </c>
      <c r="AG104">
        <v>0</v>
      </c>
      <c r="AH104">
        <v>0</v>
      </c>
      <c r="AI104">
        <v>0</v>
      </c>
      <c r="AJ104">
        <v>0</v>
      </c>
      <c r="AK104">
        <v>0</v>
      </c>
      <c r="AL104">
        <v>0</v>
      </c>
      <c r="AM104">
        <v>0</v>
      </c>
      <c r="AN104">
        <v>0</v>
      </c>
      <c r="AO104">
        <v>0</v>
      </c>
      <c r="AP104">
        <v>0</v>
      </c>
      <c r="AQ104" t="s">
        <v>21</v>
      </c>
      <c r="AR104">
        <v>42</v>
      </c>
      <c r="AS104">
        <v>264</v>
      </c>
      <c r="AT104">
        <v>274</v>
      </c>
      <c r="AU104">
        <v>3.6496350364963501E-2</v>
      </c>
      <c r="AV104" s="2">
        <v>44570</v>
      </c>
      <c r="AW104">
        <v>0.1111111111111111</v>
      </c>
      <c r="AX104" t="s">
        <v>61</v>
      </c>
      <c r="AY104">
        <v>0.25</v>
      </c>
      <c r="AZ104">
        <v>8.8262910798122124E-2</v>
      </c>
      <c r="BA104" t="s">
        <v>59</v>
      </c>
      <c r="BB104" t="s">
        <v>59</v>
      </c>
      <c r="BC104">
        <v>0</v>
      </c>
      <c r="BD104">
        <v>0</v>
      </c>
      <c r="BE104" t="s">
        <v>62</v>
      </c>
      <c r="BF104" t="s">
        <v>62</v>
      </c>
      <c r="BG104" t="s">
        <v>59</v>
      </c>
      <c r="BH104">
        <v>1</v>
      </c>
    </row>
    <row r="105" spans="1:60" x14ac:dyDescent="0.2">
      <c r="A105" t="s">
        <v>21</v>
      </c>
      <c r="B105">
        <v>5490</v>
      </c>
      <c r="C105" s="2">
        <v>44863</v>
      </c>
      <c r="D105" t="s">
        <v>100</v>
      </c>
      <c r="E105">
        <v>2022</v>
      </c>
      <c r="F105">
        <v>10</v>
      </c>
      <c r="G105">
        <v>4</v>
      </c>
      <c r="H105" t="s">
        <v>79</v>
      </c>
      <c r="I105">
        <v>0.3</v>
      </c>
      <c r="J105" t="s">
        <v>69</v>
      </c>
      <c r="K105" t="s">
        <v>191</v>
      </c>
      <c r="L105" s="6">
        <v>1</v>
      </c>
      <c r="M105" s="4">
        <v>1</v>
      </c>
      <c r="N105" s="4">
        <f t="shared" si="1"/>
        <v>0</v>
      </c>
      <c r="O105">
        <v>1</v>
      </c>
      <c r="P105">
        <v>1</v>
      </c>
      <c r="Q105">
        <v>1</v>
      </c>
      <c r="R105">
        <v>4</v>
      </c>
      <c r="S105">
        <v>0.95461690399999999</v>
      </c>
      <c r="T105">
        <v>4</v>
      </c>
      <c r="U105">
        <v>0</v>
      </c>
      <c r="V105">
        <v>0</v>
      </c>
      <c r="W105">
        <v>0</v>
      </c>
      <c r="X105">
        <v>0</v>
      </c>
      <c r="Y105">
        <v>1</v>
      </c>
      <c r="Z105">
        <v>0</v>
      </c>
      <c r="AA105">
        <v>0</v>
      </c>
      <c r="AB105">
        <v>0</v>
      </c>
      <c r="AC105">
        <v>0</v>
      </c>
      <c r="AD105">
        <v>0</v>
      </c>
      <c r="AE105">
        <v>0</v>
      </c>
      <c r="AF105">
        <v>0</v>
      </c>
      <c r="AG105">
        <v>0</v>
      </c>
      <c r="AH105">
        <v>0</v>
      </c>
      <c r="AI105">
        <v>0</v>
      </c>
      <c r="AJ105">
        <v>0</v>
      </c>
      <c r="AK105">
        <v>0</v>
      </c>
      <c r="AL105">
        <v>0</v>
      </c>
      <c r="AM105">
        <v>0</v>
      </c>
      <c r="AN105">
        <v>0</v>
      </c>
      <c r="AO105">
        <v>0</v>
      </c>
      <c r="AP105">
        <v>0</v>
      </c>
      <c r="AQ105" t="s">
        <v>21</v>
      </c>
      <c r="AR105">
        <v>48</v>
      </c>
      <c r="AT105">
        <v>274</v>
      </c>
      <c r="AV105" s="2">
        <v>44857</v>
      </c>
      <c r="AW105">
        <v>6.1696658097686437E-2</v>
      </c>
      <c r="AX105" t="s">
        <v>61</v>
      </c>
      <c r="AY105">
        <v>3.6269430051813482E-2</v>
      </c>
      <c r="AZ105">
        <v>1.714285714285704E-2</v>
      </c>
      <c r="BA105" t="s">
        <v>69</v>
      </c>
      <c r="BB105" t="s">
        <v>69</v>
      </c>
      <c r="BC105">
        <v>1</v>
      </c>
      <c r="BD105">
        <v>0</v>
      </c>
      <c r="BE105" t="s">
        <v>66</v>
      </c>
      <c r="BF105" t="s">
        <v>66</v>
      </c>
      <c r="BG105" t="s">
        <v>69</v>
      </c>
      <c r="BH105">
        <v>1</v>
      </c>
    </row>
    <row r="106" spans="1:60" x14ac:dyDescent="0.2">
      <c r="A106" t="s">
        <v>21</v>
      </c>
      <c r="B106">
        <v>23791</v>
      </c>
      <c r="C106" s="2">
        <v>44656</v>
      </c>
      <c r="D106" t="s">
        <v>84</v>
      </c>
      <c r="E106">
        <v>2022</v>
      </c>
      <c r="F106">
        <v>4</v>
      </c>
      <c r="G106">
        <v>2</v>
      </c>
      <c r="H106" t="s">
        <v>82</v>
      </c>
      <c r="I106">
        <v>0.05</v>
      </c>
      <c r="J106" t="s">
        <v>69</v>
      </c>
      <c r="K106" t="s">
        <v>192</v>
      </c>
      <c r="L106" s="6">
        <v>1</v>
      </c>
      <c r="M106" s="4">
        <v>1</v>
      </c>
      <c r="N106" s="4">
        <f t="shared" si="1"/>
        <v>0</v>
      </c>
      <c r="O106">
        <v>1</v>
      </c>
      <c r="P106">
        <v>1</v>
      </c>
      <c r="Q106">
        <v>1</v>
      </c>
      <c r="R106">
        <v>4</v>
      </c>
      <c r="S106">
        <v>0.76746070399999999</v>
      </c>
      <c r="T106">
        <v>4</v>
      </c>
      <c r="U106">
        <v>0</v>
      </c>
      <c r="V106">
        <v>0</v>
      </c>
      <c r="W106">
        <v>0</v>
      </c>
      <c r="X106">
        <v>0</v>
      </c>
      <c r="Y106">
        <v>1</v>
      </c>
      <c r="Z106">
        <v>0</v>
      </c>
      <c r="AA106">
        <v>0</v>
      </c>
      <c r="AB106">
        <v>0</v>
      </c>
      <c r="AC106">
        <v>0</v>
      </c>
      <c r="AD106">
        <v>0</v>
      </c>
      <c r="AE106">
        <v>0</v>
      </c>
      <c r="AF106">
        <v>0</v>
      </c>
      <c r="AG106">
        <v>0</v>
      </c>
      <c r="AH106">
        <v>0</v>
      </c>
      <c r="AI106">
        <v>0</v>
      </c>
      <c r="AJ106">
        <v>0</v>
      </c>
      <c r="AK106">
        <v>0</v>
      </c>
      <c r="AL106">
        <v>0</v>
      </c>
      <c r="AM106">
        <v>0</v>
      </c>
      <c r="AN106">
        <v>0</v>
      </c>
      <c r="AO106">
        <v>0</v>
      </c>
      <c r="AP106">
        <v>0</v>
      </c>
      <c r="AQ106" t="s">
        <v>21</v>
      </c>
      <c r="AR106">
        <v>34</v>
      </c>
      <c r="AS106">
        <v>180</v>
      </c>
      <c r="AT106">
        <v>274</v>
      </c>
      <c r="AU106">
        <v>0.34306569343065701</v>
      </c>
      <c r="AV106" s="2">
        <v>44654</v>
      </c>
      <c r="AW106">
        <v>5.1813471502590643E-2</v>
      </c>
      <c r="AX106" t="s">
        <v>61</v>
      </c>
      <c r="AY106">
        <v>0.25</v>
      </c>
      <c r="AZ106">
        <v>0.1647727272727274</v>
      </c>
      <c r="BA106" t="s">
        <v>69</v>
      </c>
      <c r="BB106" t="s">
        <v>69</v>
      </c>
      <c r="BC106">
        <v>1</v>
      </c>
      <c r="BD106">
        <v>0</v>
      </c>
      <c r="BE106" t="s">
        <v>81</v>
      </c>
      <c r="BF106" t="s">
        <v>62</v>
      </c>
      <c r="BG106" t="s">
        <v>69</v>
      </c>
      <c r="BH106">
        <v>1</v>
      </c>
    </row>
    <row r="107" spans="1:60" x14ac:dyDescent="0.2">
      <c r="A107" t="s">
        <v>21</v>
      </c>
      <c r="B107">
        <v>23768</v>
      </c>
      <c r="C107" s="2">
        <v>44662</v>
      </c>
      <c r="D107" t="s">
        <v>84</v>
      </c>
      <c r="E107">
        <v>2022</v>
      </c>
      <c r="F107">
        <v>4</v>
      </c>
      <c r="G107">
        <v>2</v>
      </c>
      <c r="H107" t="s">
        <v>82</v>
      </c>
      <c r="I107">
        <v>0.05</v>
      </c>
      <c r="J107" t="s">
        <v>69</v>
      </c>
      <c r="K107" t="s">
        <v>193</v>
      </c>
      <c r="L107" s="6">
        <v>1</v>
      </c>
      <c r="M107" s="4">
        <v>1</v>
      </c>
      <c r="N107" s="4">
        <f t="shared" si="1"/>
        <v>0</v>
      </c>
      <c r="O107">
        <v>1</v>
      </c>
      <c r="P107">
        <v>1</v>
      </c>
      <c r="Q107">
        <v>1</v>
      </c>
      <c r="R107">
        <v>4</v>
      </c>
      <c r="S107">
        <v>0.86096519199999999</v>
      </c>
      <c r="T107">
        <v>4</v>
      </c>
      <c r="U107">
        <v>0</v>
      </c>
      <c r="V107">
        <v>0</v>
      </c>
      <c r="W107">
        <v>0</v>
      </c>
      <c r="X107">
        <v>0</v>
      </c>
      <c r="Y107">
        <v>1</v>
      </c>
      <c r="Z107">
        <v>0</v>
      </c>
      <c r="AA107">
        <v>0</v>
      </c>
      <c r="AB107">
        <v>0</v>
      </c>
      <c r="AC107">
        <v>0</v>
      </c>
      <c r="AD107">
        <v>0</v>
      </c>
      <c r="AE107">
        <v>0</v>
      </c>
      <c r="AF107">
        <v>0</v>
      </c>
      <c r="AG107">
        <v>0</v>
      </c>
      <c r="AH107">
        <v>0</v>
      </c>
      <c r="AI107">
        <v>0</v>
      </c>
      <c r="AJ107">
        <v>0</v>
      </c>
      <c r="AK107">
        <v>0</v>
      </c>
      <c r="AL107">
        <v>0</v>
      </c>
      <c r="AM107">
        <v>0</v>
      </c>
      <c r="AN107">
        <v>0</v>
      </c>
      <c r="AO107">
        <v>0</v>
      </c>
      <c r="AP107">
        <v>0</v>
      </c>
      <c r="AQ107" t="s">
        <v>21</v>
      </c>
      <c r="AR107">
        <v>44</v>
      </c>
      <c r="AS107">
        <v>174</v>
      </c>
      <c r="AT107">
        <v>274</v>
      </c>
      <c r="AU107">
        <v>0.36496350364963498</v>
      </c>
      <c r="AV107" s="2">
        <v>44661</v>
      </c>
      <c r="AW107">
        <v>4.5454545454545491E-2</v>
      </c>
      <c r="AX107" t="s">
        <v>61</v>
      </c>
      <c r="AY107">
        <v>0.36363636363636359</v>
      </c>
      <c r="AZ107">
        <v>0.1647727272727274</v>
      </c>
      <c r="BA107" t="s">
        <v>69</v>
      </c>
      <c r="BB107" t="s">
        <v>69</v>
      </c>
      <c r="BC107">
        <v>1</v>
      </c>
      <c r="BD107">
        <v>0</v>
      </c>
      <c r="BE107" t="s">
        <v>81</v>
      </c>
      <c r="BF107" t="s">
        <v>62</v>
      </c>
      <c r="BG107" t="s">
        <v>69</v>
      </c>
      <c r="BH107">
        <v>1</v>
      </c>
    </row>
    <row r="108" spans="1:60" x14ac:dyDescent="0.2">
      <c r="A108" t="s">
        <v>21</v>
      </c>
      <c r="B108">
        <v>21240</v>
      </c>
      <c r="C108" s="2">
        <v>44802</v>
      </c>
      <c r="D108" t="s">
        <v>63</v>
      </c>
      <c r="E108">
        <v>2022</v>
      </c>
      <c r="F108">
        <v>8</v>
      </c>
      <c r="G108">
        <v>3</v>
      </c>
      <c r="H108" t="s">
        <v>68</v>
      </c>
      <c r="I108">
        <v>0.09</v>
      </c>
      <c r="J108" t="s">
        <v>69</v>
      </c>
      <c r="K108" t="s">
        <v>194</v>
      </c>
      <c r="L108" s="6">
        <v>0</v>
      </c>
      <c r="M108" s="4">
        <v>0</v>
      </c>
      <c r="N108" s="4">
        <f t="shared" si="1"/>
        <v>0</v>
      </c>
      <c r="O108">
        <v>1</v>
      </c>
      <c r="P108">
        <v>1</v>
      </c>
      <c r="Q108">
        <v>1</v>
      </c>
      <c r="R108">
        <v>4</v>
      </c>
      <c r="S108">
        <v>0.96604710800000004</v>
      </c>
      <c r="T108">
        <v>4</v>
      </c>
      <c r="U108">
        <v>0</v>
      </c>
      <c r="V108">
        <v>0</v>
      </c>
      <c r="W108">
        <v>0</v>
      </c>
      <c r="X108">
        <v>0</v>
      </c>
      <c r="Y108">
        <v>1</v>
      </c>
      <c r="Z108">
        <v>0</v>
      </c>
      <c r="AA108">
        <v>0</v>
      </c>
      <c r="AB108">
        <v>0</v>
      </c>
      <c r="AC108">
        <v>0</v>
      </c>
      <c r="AD108">
        <v>0</v>
      </c>
      <c r="AE108">
        <v>0</v>
      </c>
      <c r="AF108">
        <v>0</v>
      </c>
      <c r="AG108">
        <v>0</v>
      </c>
      <c r="AH108">
        <v>0</v>
      </c>
      <c r="AI108">
        <v>0</v>
      </c>
      <c r="AJ108">
        <v>0</v>
      </c>
      <c r="AK108">
        <v>0</v>
      </c>
      <c r="AL108">
        <v>0</v>
      </c>
      <c r="AM108">
        <v>0</v>
      </c>
      <c r="AN108">
        <v>0</v>
      </c>
      <c r="AO108">
        <v>0</v>
      </c>
      <c r="AP108">
        <v>0</v>
      </c>
      <c r="AQ108" t="s">
        <v>21</v>
      </c>
      <c r="AR108">
        <v>43</v>
      </c>
      <c r="AS108">
        <v>34</v>
      </c>
      <c r="AT108">
        <v>274</v>
      </c>
      <c r="AU108">
        <v>0.87591240875912413</v>
      </c>
      <c r="AV108" s="2">
        <v>44801</v>
      </c>
      <c r="AW108">
        <v>4.031007751937974E-2</v>
      </c>
      <c r="AX108" t="s">
        <v>61</v>
      </c>
      <c r="AY108">
        <v>5.9999999999999963E-2</v>
      </c>
      <c r="AZ108">
        <v>3.7735849056603571E-2</v>
      </c>
      <c r="BA108" t="s">
        <v>69</v>
      </c>
      <c r="BB108" t="s">
        <v>69</v>
      </c>
      <c r="BC108">
        <v>1</v>
      </c>
      <c r="BD108">
        <v>0</v>
      </c>
      <c r="BE108" t="s">
        <v>66</v>
      </c>
      <c r="BF108" t="s">
        <v>66</v>
      </c>
      <c r="BG108" t="s">
        <v>69</v>
      </c>
      <c r="BH108">
        <v>1</v>
      </c>
    </row>
    <row r="109" spans="1:60" x14ac:dyDescent="0.2">
      <c r="A109" t="s">
        <v>21</v>
      </c>
      <c r="B109">
        <v>606</v>
      </c>
      <c r="C109" s="2">
        <v>44760</v>
      </c>
      <c r="D109" t="s">
        <v>90</v>
      </c>
      <c r="E109">
        <v>2022</v>
      </c>
      <c r="F109">
        <v>7</v>
      </c>
      <c r="G109">
        <v>3</v>
      </c>
      <c r="H109" t="s">
        <v>64</v>
      </c>
      <c r="I109">
        <v>0.8</v>
      </c>
      <c r="J109" t="s">
        <v>59</v>
      </c>
      <c r="K109" t="s">
        <v>195</v>
      </c>
      <c r="L109" s="6">
        <v>1</v>
      </c>
      <c r="M109" s="4">
        <v>1</v>
      </c>
      <c r="N109" s="4">
        <f t="shared" si="1"/>
        <v>0</v>
      </c>
      <c r="O109">
        <v>1</v>
      </c>
      <c r="P109">
        <v>1</v>
      </c>
      <c r="Q109">
        <v>1</v>
      </c>
      <c r="R109">
        <v>4</v>
      </c>
      <c r="S109">
        <v>0.65773218899999997</v>
      </c>
      <c r="T109">
        <v>4</v>
      </c>
      <c r="U109">
        <v>0</v>
      </c>
      <c r="V109">
        <v>0</v>
      </c>
      <c r="W109">
        <v>0</v>
      </c>
      <c r="X109">
        <v>0</v>
      </c>
      <c r="Y109">
        <v>1</v>
      </c>
      <c r="Z109">
        <v>0</v>
      </c>
      <c r="AA109">
        <v>0</v>
      </c>
      <c r="AB109">
        <v>0</v>
      </c>
      <c r="AC109">
        <v>0</v>
      </c>
      <c r="AD109">
        <v>0</v>
      </c>
      <c r="AE109">
        <v>0</v>
      </c>
      <c r="AF109">
        <v>0</v>
      </c>
      <c r="AG109">
        <v>0</v>
      </c>
      <c r="AH109">
        <v>0</v>
      </c>
      <c r="AI109">
        <v>0</v>
      </c>
      <c r="AJ109">
        <v>0</v>
      </c>
      <c r="AK109">
        <v>0</v>
      </c>
      <c r="AL109">
        <v>0</v>
      </c>
      <c r="AM109">
        <v>0</v>
      </c>
      <c r="AN109">
        <v>0</v>
      </c>
      <c r="AO109">
        <v>0</v>
      </c>
      <c r="AP109">
        <v>0</v>
      </c>
      <c r="AQ109" t="s">
        <v>21</v>
      </c>
      <c r="AR109">
        <v>44</v>
      </c>
      <c r="AS109">
        <v>76</v>
      </c>
      <c r="AT109">
        <v>274</v>
      </c>
      <c r="AU109">
        <v>0.72262773722627738</v>
      </c>
      <c r="AV109" s="2">
        <v>44759</v>
      </c>
      <c r="AW109">
        <v>5.5555555555555573E-2</v>
      </c>
      <c r="AX109" t="s">
        <v>61</v>
      </c>
      <c r="AY109">
        <v>6.4516129032258077E-2</v>
      </c>
      <c r="AZ109">
        <v>3.1182015953589399E-2</v>
      </c>
      <c r="BA109" t="s">
        <v>59</v>
      </c>
      <c r="BB109" t="s">
        <v>59</v>
      </c>
      <c r="BC109">
        <v>0</v>
      </c>
      <c r="BD109">
        <v>0</v>
      </c>
      <c r="BE109" t="s">
        <v>81</v>
      </c>
      <c r="BF109" t="s">
        <v>62</v>
      </c>
      <c r="BG109" t="s">
        <v>59</v>
      </c>
      <c r="BH109">
        <v>1</v>
      </c>
    </row>
    <row r="110" spans="1:60" x14ac:dyDescent="0.2">
      <c r="A110" t="s">
        <v>21</v>
      </c>
      <c r="B110">
        <v>23361</v>
      </c>
      <c r="C110" s="2">
        <v>44860</v>
      </c>
      <c r="D110" t="s">
        <v>100</v>
      </c>
      <c r="E110">
        <v>2022</v>
      </c>
      <c r="F110">
        <v>10</v>
      </c>
      <c r="G110">
        <v>4</v>
      </c>
      <c r="H110" t="s">
        <v>82</v>
      </c>
      <c r="I110">
        <v>0.05</v>
      </c>
      <c r="J110" t="s">
        <v>69</v>
      </c>
      <c r="K110" t="s">
        <v>196</v>
      </c>
      <c r="L110" s="6">
        <v>1</v>
      </c>
      <c r="M110" s="4">
        <v>1</v>
      </c>
      <c r="N110" s="4">
        <f t="shared" si="1"/>
        <v>0</v>
      </c>
      <c r="O110">
        <v>1</v>
      </c>
      <c r="P110">
        <v>1</v>
      </c>
      <c r="Q110">
        <v>1</v>
      </c>
      <c r="R110">
        <v>4</v>
      </c>
      <c r="S110">
        <v>0.732153952</v>
      </c>
      <c r="T110">
        <v>4</v>
      </c>
      <c r="U110">
        <v>0</v>
      </c>
      <c r="V110">
        <v>0</v>
      </c>
      <c r="W110">
        <v>0</v>
      </c>
      <c r="X110">
        <v>0</v>
      </c>
      <c r="Y110">
        <v>1</v>
      </c>
      <c r="Z110">
        <v>0</v>
      </c>
      <c r="AA110">
        <v>0</v>
      </c>
      <c r="AB110">
        <v>0</v>
      </c>
      <c r="AC110">
        <v>0</v>
      </c>
      <c r="AD110">
        <v>0</v>
      </c>
      <c r="AE110">
        <v>0</v>
      </c>
      <c r="AF110">
        <v>0</v>
      </c>
      <c r="AG110">
        <v>0</v>
      </c>
      <c r="AH110">
        <v>0</v>
      </c>
      <c r="AI110">
        <v>0</v>
      </c>
      <c r="AJ110">
        <v>0</v>
      </c>
      <c r="AK110">
        <v>0</v>
      </c>
      <c r="AL110">
        <v>0</v>
      </c>
      <c r="AM110">
        <v>0</v>
      </c>
      <c r="AN110">
        <v>0</v>
      </c>
      <c r="AO110">
        <v>0</v>
      </c>
      <c r="AP110">
        <v>0</v>
      </c>
      <c r="AQ110" t="s">
        <v>21</v>
      </c>
      <c r="AR110">
        <v>50</v>
      </c>
      <c r="AT110">
        <v>274</v>
      </c>
      <c r="AV110" s="2">
        <v>44857</v>
      </c>
      <c r="AW110">
        <v>6.1696658097686437E-2</v>
      </c>
      <c r="AX110" t="s">
        <v>61</v>
      </c>
      <c r="AY110">
        <v>0.27586206896551718</v>
      </c>
      <c r="AZ110">
        <v>0.1647727272727274</v>
      </c>
      <c r="BA110" t="s">
        <v>69</v>
      </c>
      <c r="BB110" t="s">
        <v>69</v>
      </c>
      <c r="BC110">
        <v>1</v>
      </c>
      <c r="BD110">
        <v>0</v>
      </c>
      <c r="BE110" t="s">
        <v>66</v>
      </c>
      <c r="BF110" t="s">
        <v>66</v>
      </c>
      <c r="BG110" t="s">
        <v>69</v>
      </c>
      <c r="BH110">
        <v>1</v>
      </c>
    </row>
    <row r="111" spans="1:60" x14ac:dyDescent="0.2">
      <c r="A111" t="s">
        <v>28</v>
      </c>
      <c r="B111">
        <v>21556</v>
      </c>
      <c r="C111" s="2">
        <v>44761</v>
      </c>
      <c r="D111" t="s">
        <v>90</v>
      </c>
      <c r="E111">
        <v>2022</v>
      </c>
      <c r="F111">
        <v>7</v>
      </c>
      <c r="G111">
        <v>3</v>
      </c>
      <c r="H111" t="s">
        <v>68</v>
      </c>
      <c r="I111">
        <v>0.09</v>
      </c>
      <c r="J111" t="s">
        <v>69</v>
      </c>
      <c r="K111" t="s">
        <v>197</v>
      </c>
      <c r="L111" s="6">
        <v>0</v>
      </c>
      <c r="M111" s="4">
        <v>0</v>
      </c>
      <c r="N111" s="4">
        <f t="shared" si="1"/>
        <v>0</v>
      </c>
      <c r="O111">
        <v>1</v>
      </c>
      <c r="P111">
        <v>1</v>
      </c>
      <c r="Q111">
        <v>1</v>
      </c>
      <c r="R111">
        <v>11</v>
      </c>
      <c r="S111">
        <v>0.58835250100000003</v>
      </c>
      <c r="T111">
        <v>11</v>
      </c>
      <c r="U111">
        <v>0</v>
      </c>
      <c r="V111">
        <v>0</v>
      </c>
      <c r="W111">
        <v>0</v>
      </c>
      <c r="X111">
        <v>0</v>
      </c>
      <c r="Y111">
        <v>0</v>
      </c>
      <c r="Z111">
        <v>0</v>
      </c>
      <c r="AA111">
        <v>0</v>
      </c>
      <c r="AB111">
        <v>0</v>
      </c>
      <c r="AC111">
        <v>0</v>
      </c>
      <c r="AD111">
        <v>0</v>
      </c>
      <c r="AE111">
        <v>0</v>
      </c>
      <c r="AF111">
        <v>1</v>
      </c>
      <c r="AG111">
        <v>0</v>
      </c>
      <c r="AH111">
        <v>0</v>
      </c>
      <c r="AI111">
        <v>0</v>
      </c>
      <c r="AJ111">
        <v>0</v>
      </c>
      <c r="AK111">
        <v>0</v>
      </c>
      <c r="AL111">
        <v>0</v>
      </c>
      <c r="AM111">
        <v>0</v>
      </c>
      <c r="AN111">
        <v>0</v>
      </c>
      <c r="AO111">
        <v>0</v>
      </c>
      <c r="AP111">
        <v>0</v>
      </c>
      <c r="AQ111" t="s">
        <v>28</v>
      </c>
      <c r="AR111">
        <v>31</v>
      </c>
      <c r="AS111">
        <v>75</v>
      </c>
      <c r="AT111">
        <v>274</v>
      </c>
      <c r="AU111">
        <v>0.72627737226277367</v>
      </c>
      <c r="AV111" s="2">
        <v>44759</v>
      </c>
      <c r="AW111">
        <v>5.5555555555555573E-2</v>
      </c>
      <c r="AX111" t="s">
        <v>61</v>
      </c>
      <c r="AY111">
        <v>6.5217391304347838E-2</v>
      </c>
      <c r="AZ111">
        <v>3.7735849056603571E-2</v>
      </c>
      <c r="BA111" t="s">
        <v>69</v>
      </c>
      <c r="BB111" t="s">
        <v>69</v>
      </c>
      <c r="BC111">
        <v>1</v>
      </c>
      <c r="BD111">
        <v>0</v>
      </c>
      <c r="BE111" t="s">
        <v>81</v>
      </c>
      <c r="BF111" t="s">
        <v>62</v>
      </c>
      <c r="BG111" t="s">
        <v>69</v>
      </c>
      <c r="BH111">
        <v>1</v>
      </c>
    </row>
    <row r="112" spans="1:60" x14ac:dyDescent="0.2">
      <c r="A112" t="s">
        <v>28</v>
      </c>
      <c r="B112">
        <v>10838</v>
      </c>
      <c r="C112" s="2">
        <v>44792</v>
      </c>
      <c r="D112" t="s">
        <v>63</v>
      </c>
      <c r="E112">
        <v>2022</v>
      </c>
      <c r="F112">
        <v>8</v>
      </c>
      <c r="G112">
        <v>3</v>
      </c>
      <c r="H112" t="s">
        <v>73</v>
      </c>
      <c r="I112">
        <v>0.39</v>
      </c>
      <c r="J112" t="s">
        <v>74</v>
      </c>
      <c r="K112" t="s">
        <v>198</v>
      </c>
      <c r="L112" s="6">
        <v>1</v>
      </c>
      <c r="M112" s="4">
        <v>1</v>
      </c>
      <c r="N112" s="4">
        <f t="shared" si="1"/>
        <v>0</v>
      </c>
      <c r="O112">
        <v>1</v>
      </c>
      <c r="P112">
        <v>1</v>
      </c>
      <c r="Q112">
        <v>1</v>
      </c>
      <c r="R112">
        <v>11</v>
      </c>
      <c r="S112">
        <v>0.90597069299999999</v>
      </c>
      <c r="T112">
        <v>11</v>
      </c>
      <c r="U112">
        <v>0</v>
      </c>
      <c r="V112">
        <v>0</v>
      </c>
      <c r="W112">
        <v>0</v>
      </c>
      <c r="X112">
        <v>0</v>
      </c>
      <c r="Y112">
        <v>0</v>
      </c>
      <c r="Z112">
        <v>0</v>
      </c>
      <c r="AA112">
        <v>0</v>
      </c>
      <c r="AB112">
        <v>0</v>
      </c>
      <c r="AC112">
        <v>0</v>
      </c>
      <c r="AD112">
        <v>0</v>
      </c>
      <c r="AE112">
        <v>0</v>
      </c>
      <c r="AF112">
        <v>1</v>
      </c>
      <c r="AG112">
        <v>0</v>
      </c>
      <c r="AH112">
        <v>0</v>
      </c>
      <c r="AI112">
        <v>0</v>
      </c>
      <c r="AJ112">
        <v>0</v>
      </c>
      <c r="AK112">
        <v>0</v>
      </c>
      <c r="AL112">
        <v>0</v>
      </c>
      <c r="AM112">
        <v>0</v>
      </c>
      <c r="AN112">
        <v>0</v>
      </c>
      <c r="AO112">
        <v>0</v>
      </c>
      <c r="AP112">
        <v>0</v>
      </c>
      <c r="AQ112" t="s">
        <v>28</v>
      </c>
      <c r="AR112">
        <v>49</v>
      </c>
      <c r="AS112">
        <v>44</v>
      </c>
      <c r="AT112">
        <v>274</v>
      </c>
      <c r="AU112">
        <v>0.83941605839416056</v>
      </c>
      <c r="AV112" s="2">
        <v>44787</v>
      </c>
      <c r="AW112">
        <v>5.9800664451827232E-2</v>
      </c>
      <c r="AX112" t="s">
        <v>61</v>
      </c>
      <c r="AY112">
        <v>7.0175438596491224E-2</v>
      </c>
      <c r="AZ112">
        <v>5.7251908396946792E-2</v>
      </c>
      <c r="BA112" t="s">
        <v>69</v>
      </c>
      <c r="BB112" t="s">
        <v>69</v>
      </c>
      <c r="BC112">
        <v>1</v>
      </c>
      <c r="BD112">
        <v>0</v>
      </c>
      <c r="BE112" t="s">
        <v>66</v>
      </c>
      <c r="BF112" t="s">
        <v>66</v>
      </c>
      <c r="BG112" t="s">
        <v>69</v>
      </c>
      <c r="BH112">
        <v>1</v>
      </c>
    </row>
    <row r="113" spans="1:60" x14ac:dyDescent="0.2">
      <c r="A113" t="s">
        <v>28</v>
      </c>
      <c r="B113">
        <v>21082</v>
      </c>
      <c r="C113" s="2">
        <v>44822</v>
      </c>
      <c r="D113" t="s">
        <v>67</v>
      </c>
      <c r="E113">
        <v>2022</v>
      </c>
      <c r="F113">
        <v>9</v>
      </c>
      <c r="G113">
        <v>3</v>
      </c>
      <c r="H113" t="s">
        <v>68</v>
      </c>
      <c r="I113">
        <v>0.09</v>
      </c>
      <c r="J113" t="s">
        <v>69</v>
      </c>
      <c r="K113" t="s">
        <v>199</v>
      </c>
      <c r="L113" s="6">
        <v>1</v>
      </c>
      <c r="M113" s="4">
        <v>1</v>
      </c>
      <c r="N113" s="4">
        <f t="shared" si="1"/>
        <v>0</v>
      </c>
      <c r="O113">
        <v>1</v>
      </c>
      <c r="P113">
        <v>1</v>
      </c>
      <c r="Q113">
        <v>1</v>
      </c>
      <c r="R113">
        <v>11</v>
      </c>
      <c r="S113">
        <v>0.80962240699999999</v>
      </c>
      <c r="T113">
        <v>11</v>
      </c>
      <c r="U113">
        <v>0</v>
      </c>
      <c r="V113">
        <v>0</v>
      </c>
      <c r="W113">
        <v>0</v>
      </c>
      <c r="X113">
        <v>0</v>
      </c>
      <c r="Y113">
        <v>0</v>
      </c>
      <c r="Z113">
        <v>0</v>
      </c>
      <c r="AA113">
        <v>0</v>
      </c>
      <c r="AB113">
        <v>0</v>
      </c>
      <c r="AC113">
        <v>0</v>
      </c>
      <c r="AD113">
        <v>0</v>
      </c>
      <c r="AE113">
        <v>0</v>
      </c>
      <c r="AF113">
        <v>1</v>
      </c>
      <c r="AG113">
        <v>0</v>
      </c>
      <c r="AH113">
        <v>0</v>
      </c>
      <c r="AI113">
        <v>0</v>
      </c>
      <c r="AJ113">
        <v>0</v>
      </c>
      <c r="AK113">
        <v>0</v>
      </c>
      <c r="AL113">
        <v>0</v>
      </c>
      <c r="AM113">
        <v>0</v>
      </c>
      <c r="AN113">
        <v>0</v>
      </c>
      <c r="AO113">
        <v>0</v>
      </c>
      <c r="AP113">
        <v>0</v>
      </c>
      <c r="AQ113" t="s">
        <v>28</v>
      </c>
      <c r="AR113">
        <v>46</v>
      </c>
      <c r="AS113">
        <v>14</v>
      </c>
      <c r="AT113">
        <v>274</v>
      </c>
      <c r="AU113">
        <v>0.94890510948905105</v>
      </c>
      <c r="AV113" s="2">
        <v>44822</v>
      </c>
      <c r="AW113">
        <v>5.1401869158878552E-2</v>
      </c>
      <c r="AX113" t="s">
        <v>61</v>
      </c>
      <c r="AY113">
        <v>3.3333333333333319E-2</v>
      </c>
      <c r="AZ113">
        <v>3.7735849056603571E-2</v>
      </c>
      <c r="BA113" t="s">
        <v>69</v>
      </c>
      <c r="BB113" t="s">
        <v>69</v>
      </c>
      <c r="BC113">
        <v>1</v>
      </c>
      <c r="BD113">
        <v>0</v>
      </c>
      <c r="BE113" t="s">
        <v>66</v>
      </c>
      <c r="BF113" t="s">
        <v>66</v>
      </c>
      <c r="BG113" t="s">
        <v>69</v>
      </c>
      <c r="BH113">
        <v>1</v>
      </c>
    </row>
    <row r="114" spans="1:60" x14ac:dyDescent="0.2">
      <c r="A114" t="s">
        <v>28</v>
      </c>
      <c r="B114">
        <v>23752</v>
      </c>
      <c r="C114" s="2">
        <v>44677</v>
      </c>
      <c r="D114" t="s">
        <v>84</v>
      </c>
      <c r="E114">
        <v>2022</v>
      </c>
      <c r="F114">
        <v>4</v>
      </c>
      <c r="G114">
        <v>2</v>
      </c>
      <c r="H114" t="s">
        <v>82</v>
      </c>
      <c r="I114">
        <v>0.05</v>
      </c>
      <c r="J114" t="s">
        <v>69</v>
      </c>
      <c r="K114" t="s">
        <v>200</v>
      </c>
      <c r="L114" s="6">
        <v>1</v>
      </c>
      <c r="M114" s="4">
        <v>1</v>
      </c>
      <c r="N114" s="4">
        <f t="shared" si="1"/>
        <v>0</v>
      </c>
      <c r="O114">
        <v>1</v>
      </c>
      <c r="P114">
        <v>1</v>
      </c>
      <c r="Q114">
        <v>1</v>
      </c>
      <c r="R114">
        <v>11</v>
      </c>
      <c r="S114">
        <v>0.60473132100000004</v>
      </c>
      <c r="T114">
        <v>11</v>
      </c>
      <c r="U114">
        <v>0</v>
      </c>
      <c r="V114">
        <v>0</v>
      </c>
      <c r="W114">
        <v>0</v>
      </c>
      <c r="X114">
        <v>0</v>
      </c>
      <c r="Y114">
        <v>0</v>
      </c>
      <c r="Z114">
        <v>0</v>
      </c>
      <c r="AA114">
        <v>0</v>
      </c>
      <c r="AB114">
        <v>0</v>
      </c>
      <c r="AC114">
        <v>0</v>
      </c>
      <c r="AD114">
        <v>0</v>
      </c>
      <c r="AE114">
        <v>0</v>
      </c>
      <c r="AF114">
        <v>1</v>
      </c>
      <c r="AG114">
        <v>0</v>
      </c>
      <c r="AH114">
        <v>0</v>
      </c>
      <c r="AI114">
        <v>0</v>
      </c>
      <c r="AJ114">
        <v>0</v>
      </c>
      <c r="AK114">
        <v>0</v>
      </c>
      <c r="AL114">
        <v>0</v>
      </c>
      <c r="AM114">
        <v>0</v>
      </c>
      <c r="AN114">
        <v>0</v>
      </c>
      <c r="AO114">
        <v>0</v>
      </c>
      <c r="AP114">
        <v>0</v>
      </c>
      <c r="AQ114" t="s">
        <v>28</v>
      </c>
      <c r="AR114">
        <v>37</v>
      </c>
      <c r="AS114">
        <v>159</v>
      </c>
      <c r="AT114">
        <v>274</v>
      </c>
      <c r="AU114">
        <v>0.41970802919708028</v>
      </c>
      <c r="AV114" s="2">
        <v>44675</v>
      </c>
      <c r="AW114">
        <v>5.8479532163742777E-2</v>
      </c>
      <c r="AX114" t="s">
        <v>61</v>
      </c>
      <c r="AY114">
        <v>0.30769230769230771</v>
      </c>
      <c r="AZ114">
        <v>0.1647727272727274</v>
      </c>
      <c r="BA114" t="s">
        <v>69</v>
      </c>
      <c r="BB114" t="s">
        <v>69</v>
      </c>
      <c r="BC114">
        <v>1</v>
      </c>
      <c r="BD114">
        <v>0</v>
      </c>
      <c r="BE114" t="s">
        <v>81</v>
      </c>
      <c r="BF114" t="s">
        <v>62</v>
      </c>
      <c r="BG114" t="s">
        <v>69</v>
      </c>
      <c r="BH114">
        <v>1</v>
      </c>
    </row>
    <row r="115" spans="1:60" x14ac:dyDescent="0.2">
      <c r="A115" t="s">
        <v>28</v>
      </c>
      <c r="B115">
        <v>10906</v>
      </c>
      <c r="C115" s="2">
        <v>44784</v>
      </c>
      <c r="D115" t="s">
        <v>63</v>
      </c>
      <c r="E115">
        <v>2022</v>
      </c>
      <c r="F115">
        <v>8</v>
      </c>
      <c r="G115">
        <v>3</v>
      </c>
      <c r="H115" t="s">
        <v>73</v>
      </c>
      <c r="I115">
        <v>0.39</v>
      </c>
      <c r="J115" t="s">
        <v>74</v>
      </c>
      <c r="K115" t="s">
        <v>201</v>
      </c>
      <c r="L115" s="6">
        <v>1</v>
      </c>
      <c r="M115" s="4">
        <v>1</v>
      </c>
      <c r="N115" s="4">
        <f t="shared" si="1"/>
        <v>0</v>
      </c>
      <c r="O115">
        <v>1</v>
      </c>
      <c r="P115">
        <v>1</v>
      </c>
      <c r="Q115">
        <v>1</v>
      </c>
      <c r="R115">
        <v>11</v>
      </c>
      <c r="S115">
        <v>0.92712986500000005</v>
      </c>
      <c r="T115">
        <v>11</v>
      </c>
      <c r="U115">
        <v>0</v>
      </c>
      <c r="V115">
        <v>0</v>
      </c>
      <c r="W115">
        <v>0</v>
      </c>
      <c r="X115">
        <v>0</v>
      </c>
      <c r="Y115">
        <v>0</v>
      </c>
      <c r="Z115">
        <v>0</v>
      </c>
      <c r="AA115">
        <v>0</v>
      </c>
      <c r="AB115">
        <v>0</v>
      </c>
      <c r="AC115">
        <v>0</v>
      </c>
      <c r="AD115">
        <v>0</v>
      </c>
      <c r="AE115">
        <v>0</v>
      </c>
      <c r="AF115">
        <v>1</v>
      </c>
      <c r="AG115">
        <v>0</v>
      </c>
      <c r="AH115">
        <v>0</v>
      </c>
      <c r="AI115">
        <v>0</v>
      </c>
      <c r="AJ115">
        <v>0</v>
      </c>
      <c r="AK115">
        <v>0</v>
      </c>
      <c r="AL115">
        <v>0</v>
      </c>
      <c r="AM115">
        <v>0</v>
      </c>
      <c r="AN115">
        <v>0</v>
      </c>
      <c r="AO115">
        <v>0</v>
      </c>
      <c r="AP115">
        <v>0</v>
      </c>
      <c r="AQ115" t="s">
        <v>28</v>
      </c>
      <c r="AR115">
        <v>34</v>
      </c>
      <c r="AS115">
        <v>52</v>
      </c>
      <c r="AT115">
        <v>274</v>
      </c>
      <c r="AU115">
        <v>0.81021897810218979</v>
      </c>
      <c r="AV115" s="2">
        <v>44780</v>
      </c>
      <c r="AW115">
        <v>3.7037037037037063E-2</v>
      </c>
      <c r="AX115" t="s">
        <v>61</v>
      </c>
      <c r="AY115">
        <v>0.1162790697674419</v>
      </c>
      <c r="AZ115">
        <v>5.7251908396946792E-2</v>
      </c>
      <c r="BA115" t="s">
        <v>69</v>
      </c>
      <c r="BB115" t="s">
        <v>69</v>
      </c>
      <c r="BC115">
        <v>1</v>
      </c>
      <c r="BD115">
        <v>0</v>
      </c>
      <c r="BE115" t="s">
        <v>81</v>
      </c>
      <c r="BF115" t="s">
        <v>62</v>
      </c>
      <c r="BG115" t="s">
        <v>69</v>
      </c>
      <c r="BH115">
        <v>1</v>
      </c>
    </row>
    <row r="116" spans="1:60" x14ac:dyDescent="0.2">
      <c r="A116" t="s">
        <v>28</v>
      </c>
      <c r="B116">
        <v>18954</v>
      </c>
      <c r="C116" s="2">
        <v>44898</v>
      </c>
      <c r="D116" t="s">
        <v>76</v>
      </c>
      <c r="E116">
        <v>2022</v>
      </c>
      <c r="F116">
        <v>12</v>
      </c>
      <c r="G116">
        <v>4</v>
      </c>
      <c r="H116" t="s">
        <v>58</v>
      </c>
      <c r="I116">
        <v>0.81</v>
      </c>
      <c r="J116" t="s">
        <v>59</v>
      </c>
      <c r="K116" t="s">
        <v>202</v>
      </c>
      <c r="L116" s="6">
        <v>0</v>
      </c>
      <c r="M116" s="4">
        <v>0</v>
      </c>
      <c r="N116" s="4">
        <f t="shared" si="1"/>
        <v>0</v>
      </c>
      <c r="O116">
        <v>1</v>
      </c>
      <c r="P116">
        <v>1</v>
      </c>
      <c r="Q116">
        <v>1</v>
      </c>
      <c r="R116">
        <v>11</v>
      </c>
      <c r="S116">
        <v>0.93472593999999998</v>
      </c>
      <c r="T116">
        <v>11</v>
      </c>
      <c r="U116">
        <v>0</v>
      </c>
      <c r="V116">
        <v>0</v>
      </c>
      <c r="W116">
        <v>0</v>
      </c>
      <c r="X116">
        <v>0</v>
      </c>
      <c r="Y116">
        <v>0</v>
      </c>
      <c r="Z116">
        <v>0</v>
      </c>
      <c r="AA116">
        <v>0</v>
      </c>
      <c r="AB116">
        <v>0</v>
      </c>
      <c r="AC116">
        <v>0</v>
      </c>
      <c r="AD116">
        <v>0</v>
      </c>
      <c r="AE116">
        <v>0</v>
      </c>
      <c r="AF116">
        <v>1</v>
      </c>
      <c r="AG116">
        <v>0</v>
      </c>
      <c r="AH116">
        <v>0</v>
      </c>
      <c r="AI116">
        <v>0</v>
      </c>
      <c r="AJ116">
        <v>0</v>
      </c>
      <c r="AK116">
        <v>0</v>
      </c>
      <c r="AL116">
        <v>0</v>
      </c>
      <c r="AM116">
        <v>0</v>
      </c>
      <c r="AN116">
        <v>0</v>
      </c>
      <c r="AO116">
        <v>0</v>
      </c>
      <c r="AP116">
        <v>0</v>
      </c>
      <c r="AQ116" t="s">
        <v>28</v>
      </c>
      <c r="AR116">
        <v>48</v>
      </c>
      <c r="AT116">
        <v>274</v>
      </c>
      <c r="AV116" s="2">
        <v>44892</v>
      </c>
      <c r="AW116">
        <v>1.324503311258278E-2</v>
      </c>
      <c r="AX116" t="s">
        <v>61</v>
      </c>
      <c r="AY116">
        <v>0.15384615384615391</v>
      </c>
      <c r="AZ116">
        <v>8.8262910798122124E-2</v>
      </c>
      <c r="BA116" t="s">
        <v>59</v>
      </c>
      <c r="BB116" t="s">
        <v>59</v>
      </c>
      <c r="BC116">
        <v>0</v>
      </c>
      <c r="BD116">
        <v>0</v>
      </c>
      <c r="BE116" t="s">
        <v>62</v>
      </c>
      <c r="BF116" t="s">
        <v>62</v>
      </c>
      <c r="BG116" t="s">
        <v>59</v>
      </c>
      <c r="BH116">
        <v>1</v>
      </c>
    </row>
    <row r="117" spans="1:60" x14ac:dyDescent="0.2">
      <c r="A117" t="s">
        <v>28</v>
      </c>
      <c r="B117">
        <v>18925</v>
      </c>
      <c r="C117" s="2">
        <v>44916</v>
      </c>
      <c r="D117" t="s">
        <v>76</v>
      </c>
      <c r="E117">
        <v>2022</v>
      </c>
      <c r="F117">
        <v>12</v>
      </c>
      <c r="G117">
        <v>4</v>
      </c>
      <c r="H117" t="s">
        <v>58</v>
      </c>
      <c r="I117">
        <v>0.81</v>
      </c>
      <c r="J117" t="s">
        <v>59</v>
      </c>
      <c r="K117" t="s">
        <v>203</v>
      </c>
      <c r="L117" s="6">
        <v>0</v>
      </c>
      <c r="M117" s="4">
        <v>0</v>
      </c>
      <c r="N117" s="4">
        <f t="shared" si="1"/>
        <v>0</v>
      </c>
      <c r="O117">
        <v>1</v>
      </c>
      <c r="P117">
        <v>1</v>
      </c>
      <c r="Q117">
        <v>1</v>
      </c>
      <c r="R117">
        <v>11</v>
      </c>
      <c r="S117">
        <v>0.66782325499999995</v>
      </c>
      <c r="T117">
        <v>11</v>
      </c>
      <c r="U117">
        <v>0</v>
      </c>
      <c r="V117">
        <v>0</v>
      </c>
      <c r="W117">
        <v>0</v>
      </c>
      <c r="X117">
        <v>0</v>
      </c>
      <c r="Y117">
        <v>0</v>
      </c>
      <c r="Z117">
        <v>0</v>
      </c>
      <c r="AA117">
        <v>0</v>
      </c>
      <c r="AB117">
        <v>0</v>
      </c>
      <c r="AC117">
        <v>0</v>
      </c>
      <c r="AD117">
        <v>0</v>
      </c>
      <c r="AE117">
        <v>0</v>
      </c>
      <c r="AF117">
        <v>1</v>
      </c>
      <c r="AG117">
        <v>0</v>
      </c>
      <c r="AH117">
        <v>0</v>
      </c>
      <c r="AI117">
        <v>0</v>
      </c>
      <c r="AJ117">
        <v>0</v>
      </c>
      <c r="AK117">
        <v>0</v>
      </c>
      <c r="AL117">
        <v>0</v>
      </c>
      <c r="AM117">
        <v>0</v>
      </c>
      <c r="AN117">
        <v>0</v>
      </c>
      <c r="AO117">
        <v>0</v>
      </c>
      <c r="AP117">
        <v>0</v>
      </c>
      <c r="AQ117" t="s">
        <v>28</v>
      </c>
      <c r="AR117">
        <v>54</v>
      </c>
      <c r="AT117">
        <v>274</v>
      </c>
      <c r="AV117" s="2">
        <v>44913</v>
      </c>
      <c r="AW117">
        <v>3.0303030303030321E-2</v>
      </c>
      <c r="AX117" t="s">
        <v>61</v>
      </c>
      <c r="AY117">
        <v>0.27272727272727271</v>
      </c>
      <c r="AZ117">
        <v>8.8262910798122124E-2</v>
      </c>
      <c r="BA117" t="s">
        <v>59</v>
      </c>
      <c r="BB117" t="s">
        <v>59</v>
      </c>
      <c r="BC117">
        <v>0</v>
      </c>
      <c r="BD117">
        <v>0</v>
      </c>
      <c r="BE117" t="s">
        <v>62</v>
      </c>
      <c r="BF117" t="s">
        <v>62</v>
      </c>
      <c r="BG117" t="s">
        <v>59</v>
      </c>
      <c r="BH117">
        <v>1</v>
      </c>
    </row>
    <row r="118" spans="1:60" x14ac:dyDescent="0.2">
      <c r="A118" t="s">
        <v>28</v>
      </c>
      <c r="B118">
        <v>10808</v>
      </c>
      <c r="C118" s="2">
        <v>44797</v>
      </c>
      <c r="D118" t="s">
        <v>63</v>
      </c>
      <c r="E118">
        <v>2022</v>
      </c>
      <c r="F118">
        <v>8</v>
      </c>
      <c r="G118">
        <v>3</v>
      </c>
      <c r="H118" t="s">
        <v>73</v>
      </c>
      <c r="I118">
        <v>0.39</v>
      </c>
      <c r="J118" t="s">
        <v>74</v>
      </c>
      <c r="K118" t="s">
        <v>204</v>
      </c>
      <c r="L118" s="6">
        <v>1</v>
      </c>
      <c r="M118" s="4">
        <v>1</v>
      </c>
      <c r="N118" s="4">
        <f t="shared" si="1"/>
        <v>0</v>
      </c>
      <c r="O118">
        <v>1</v>
      </c>
      <c r="P118">
        <v>1</v>
      </c>
      <c r="Q118">
        <v>1</v>
      </c>
      <c r="R118">
        <v>11</v>
      </c>
      <c r="S118">
        <v>0.91435807899999999</v>
      </c>
      <c r="T118">
        <v>11</v>
      </c>
      <c r="U118">
        <v>0</v>
      </c>
      <c r="V118">
        <v>0</v>
      </c>
      <c r="W118">
        <v>0</v>
      </c>
      <c r="X118">
        <v>0</v>
      </c>
      <c r="Y118">
        <v>0</v>
      </c>
      <c r="Z118">
        <v>0</v>
      </c>
      <c r="AA118">
        <v>0</v>
      </c>
      <c r="AB118">
        <v>0</v>
      </c>
      <c r="AC118">
        <v>0</v>
      </c>
      <c r="AD118">
        <v>0</v>
      </c>
      <c r="AE118">
        <v>0</v>
      </c>
      <c r="AF118">
        <v>1</v>
      </c>
      <c r="AG118">
        <v>0</v>
      </c>
      <c r="AH118">
        <v>0</v>
      </c>
      <c r="AI118">
        <v>0</v>
      </c>
      <c r="AJ118">
        <v>0</v>
      </c>
      <c r="AK118">
        <v>0</v>
      </c>
      <c r="AL118">
        <v>0</v>
      </c>
      <c r="AM118">
        <v>0</v>
      </c>
      <c r="AN118">
        <v>0</v>
      </c>
      <c r="AO118">
        <v>0</v>
      </c>
      <c r="AP118">
        <v>0</v>
      </c>
      <c r="AQ118" t="s">
        <v>28</v>
      </c>
      <c r="AR118">
        <v>43</v>
      </c>
      <c r="AS118">
        <v>39</v>
      </c>
      <c r="AT118">
        <v>274</v>
      </c>
      <c r="AU118">
        <v>0.85766423357664234</v>
      </c>
      <c r="AV118" s="2">
        <v>44794</v>
      </c>
      <c r="AW118">
        <v>5.3830227743271238E-2</v>
      </c>
      <c r="AX118" t="s">
        <v>61</v>
      </c>
      <c r="AY118">
        <v>0.10606060606060611</v>
      </c>
      <c r="AZ118">
        <v>5.7251908396946792E-2</v>
      </c>
      <c r="BA118" t="s">
        <v>69</v>
      </c>
      <c r="BB118" t="s">
        <v>69</v>
      </c>
      <c r="BC118">
        <v>1</v>
      </c>
      <c r="BD118">
        <v>0</v>
      </c>
      <c r="BE118" t="s">
        <v>66</v>
      </c>
      <c r="BF118" t="s">
        <v>66</v>
      </c>
      <c r="BG118" t="s">
        <v>69</v>
      </c>
      <c r="BH118">
        <v>1</v>
      </c>
    </row>
    <row r="119" spans="1:60" x14ac:dyDescent="0.2">
      <c r="A119" t="s">
        <v>28</v>
      </c>
      <c r="B119">
        <v>23684</v>
      </c>
      <c r="C119" s="2">
        <v>44742</v>
      </c>
      <c r="D119" t="s">
        <v>126</v>
      </c>
      <c r="E119">
        <v>2022</v>
      </c>
      <c r="F119">
        <v>6</v>
      </c>
      <c r="G119">
        <v>2</v>
      </c>
      <c r="H119" t="s">
        <v>82</v>
      </c>
      <c r="I119">
        <v>0.05</v>
      </c>
      <c r="J119" t="s">
        <v>69</v>
      </c>
      <c r="K119" t="s">
        <v>205</v>
      </c>
      <c r="L119" s="6">
        <v>1</v>
      </c>
      <c r="M119" s="4">
        <v>1</v>
      </c>
      <c r="N119" s="4">
        <f t="shared" si="1"/>
        <v>0</v>
      </c>
      <c r="O119">
        <v>1</v>
      </c>
      <c r="P119">
        <v>1</v>
      </c>
      <c r="Q119">
        <v>1</v>
      </c>
      <c r="R119">
        <v>11</v>
      </c>
      <c r="S119">
        <v>0.95326274600000005</v>
      </c>
      <c r="T119">
        <v>11</v>
      </c>
      <c r="U119">
        <v>0</v>
      </c>
      <c r="V119">
        <v>0</v>
      </c>
      <c r="W119">
        <v>0</v>
      </c>
      <c r="X119">
        <v>0</v>
      </c>
      <c r="Y119">
        <v>0</v>
      </c>
      <c r="Z119">
        <v>0</v>
      </c>
      <c r="AA119">
        <v>0</v>
      </c>
      <c r="AB119">
        <v>0</v>
      </c>
      <c r="AC119">
        <v>0</v>
      </c>
      <c r="AD119">
        <v>0</v>
      </c>
      <c r="AE119">
        <v>0</v>
      </c>
      <c r="AF119">
        <v>1</v>
      </c>
      <c r="AG119">
        <v>0</v>
      </c>
      <c r="AH119">
        <v>0</v>
      </c>
      <c r="AI119">
        <v>0</v>
      </c>
      <c r="AJ119">
        <v>0</v>
      </c>
      <c r="AK119">
        <v>0</v>
      </c>
      <c r="AL119">
        <v>0</v>
      </c>
      <c r="AM119">
        <v>0</v>
      </c>
      <c r="AN119">
        <v>0</v>
      </c>
      <c r="AO119">
        <v>0</v>
      </c>
      <c r="AP119">
        <v>0</v>
      </c>
      <c r="AQ119" t="s">
        <v>28</v>
      </c>
      <c r="AR119">
        <v>48</v>
      </c>
      <c r="AS119">
        <v>94</v>
      </c>
      <c r="AT119">
        <v>274</v>
      </c>
      <c r="AU119">
        <v>0.65693430656934304</v>
      </c>
      <c r="AV119" s="2">
        <v>44738</v>
      </c>
      <c r="AW119">
        <v>4.0723981900452483E-2</v>
      </c>
      <c r="AX119" t="s">
        <v>61</v>
      </c>
      <c r="AY119">
        <v>0.2</v>
      </c>
      <c r="AZ119">
        <v>0.1647727272727274</v>
      </c>
      <c r="BA119" t="s">
        <v>69</v>
      </c>
      <c r="BB119" t="s">
        <v>69</v>
      </c>
      <c r="BC119">
        <v>1</v>
      </c>
      <c r="BD119">
        <v>0</v>
      </c>
      <c r="BE119" t="s">
        <v>81</v>
      </c>
      <c r="BF119" t="s">
        <v>62</v>
      </c>
      <c r="BG119" t="s">
        <v>69</v>
      </c>
      <c r="BH119">
        <v>1</v>
      </c>
    </row>
    <row r="120" spans="1:60" x14ac:dyDescent="0.2">
      <c r="A120" t="s">
        <v>28</v>
      </c>
      <c r="B120">
        <v>11275</v>
      </c>
      <c r="C120" s="2">
        <v>44722</v>
      </c>
      <c r="D120" t="s">
        <v>126</v>
      </c>
      <c r="E120">
        <v>2022</v>
      </c>
      <c r="F120">
        <v>6</v>
      </c>
      <c r="G120">
        <v>2</v>
      </c>
      <c r="H120" t="s">
        <v>73</v>
      </c>
      <c r="I120">
        <v>0.39</v>
      </c>
      <c r="J120" t="s">
        <v>74</v>
      </c>
      <c r="K120" t="s">
        <v>206</v>
      </c>
      <c r="L120" s="6">
        <v>1</v>
      </c>
      <c r="M120" s="4">
        <v>1</v>
      </c>
      <c r="N120" s="4">
        <f t="shared" si="1"/>
        <v>0</v>
      </c>
      <c r="O120">
        <v>1</v>
      </c>
      <c r="P120">
        <v>1</v>
      </c>
      <c r="Q120">
        <v>1</v>
      </c>
      <c r="R120">
        <v>11</v>
      </c>
      <c r="S120">
        <v>0.53343874199999997</v>
      </c>
      <c r="T120">
        <v>11</v>
      </c>
      <c r="U120">
        <v>0</v>
      </c>
      <c r="V120">
        <v>0</v>
      </c>
      <c r="W120">
        <v>0</v>
      </c>
      <c r="X120">
        <v>0</v>
      </c>
      <c r="Y120">
        <v>0</v>
      </c>
      <c r="Z120">
        <v>0</v>
      </c>
      <c r="AA120">
        <v>0</v>
      </c>
      <c r="AB120">
        <v>0</v>
      </c>
      <c r="AC120">
        <v>0</v>
      </c>
      <c r="AD120">
        <v>0</v>
      </c>
      <c r="AE120">
        <v>0</v>
      </c>
      <c r="AF120">
        <v>1</v>
      </c>
      <c r="AG120">
        <v>0</v>
      </c>
      <c r="AH120">
        <v>0</v>
      </c>
      <c r="AI120">
        <v>0</v>
      </c>
      <c r="AJ120">
        <v>0</v>
      </c>
      <c r="AK120">
        <v>0</v>
      </c>
      <c r="AL120">
        <v>0</v>
      </c>
      <c r="AM120">
        <v>0</v>
      </c>
      <c r="AN120">
        <v>0</v>
      </c>
      <c r="AO120">
        <v>0</v>
      </c>
      <c r="AP120">
        <v>0</v>
      </c>
      <c r="AQ120" t="s">
        <v>28</v>
      </c>
      <c r="AR120">
        <v>50</v>
      </c>
      <c r="AS120">
        <v>114</v>
      </c>
      <c r="AT120">
        <v>274</v>
      </c>
      <c r="AU120">
        <v>0.58394160583941601</v>
      </c>
      <c r="AV120" s="2">
        <v>44717</v>
      </c>
      <c r="AW120">
        <v>3.7234042553191488E-2</v>
      </c>
      <c r="AX120" t="s">
        <v>61</v>
      </c>
      <c r="AY120">
        <v>0.1111111111111111</v>
      </c>
      <c r="AZ120">
        <v>5.7251908396946792E-2</v>
      </c>
      <c r="BA120" t="s">
        <v>69</v>
      </c>
      <c r="BB120" t="s">
        <v>69</v>
      </c>
      <c r="BC120">
        <v>1</v>
      </c>
      <c r="BD120">
        <v>0</v>
      </c>
      <c r="BE120" t="s">
        <v>81</v>
      </c>
      <c r="BF120" t="s">
        <v>62</v>
      </c>
      <c r="BG120" t="s">
        <v>69</v>
      </c>
      <c r="BH120">
        <v>1</v>
      </c>
    </row>
    <row r="121" spans="1:60" x14ac:dyDescent="0.2">
      <c r="A121" t="s">
        <v>18</v>
      </c>
      <c r="B121">
        <v>16270</v>
      </c>
      <c r="C121" s="2">
        <v>44593</v>
      </c>
      <c r="D121" t="s">
        <v>57</v>
      </c>
      <c r="E121">
        <v>2022</v>
      </c>
      <c r="F121">
        <v>2</v>
      </c>
      <c r="G121">
        <v>1</v>
      </c>
      <c r="H121" t="s">
        <v>115</v>
      </c>
      <c r="I121">
        <v>0.13</v>
      </c>
      <c r="J121" t="s">
        <v>69</v>
      </c>
      <c r="K121" t="s">
        <v>207</v>
      </c>
      <c r="L121" s="6">
        <v>1</v>
      </c>
      <c r="M121" s="4">
        <v>1</v>
      </c>
      <c r="N121" s="4">
        <f t="shared" si="1"/>
        <v>0</v>
      </c>
      <c r="O121">
        <v>1</v>
      </c>
      <c r="P121">
        <v>1</v>
      </c>
      <c r="Q121">
        <v>1</v>
      </c>
      <c r="R121">
        <v>1</v>
      </c>
      <c r="S121">
        <v>0.82535678099999998</v>
      </c>
      <c r="T121">
        <v>1</v>
      </c>
      <c r="U121">
        <v>0</v>
      </c>
      <c r="V121">
        <v>1</v>
      </c>
      <c r="W121">
        <v>0</v>
      </c>
      <c r="X121">
        <v>0</v>
      </c>
      <c r="Y121">
        <v>0</v>
      </c>
      <c r="Z121">
        <v>0</v>
      </c>
      <c r="AA121">
        <v>0</v>
      </c>
      <c r="AB121">
        <v>0</v>
      </c>
      <c r="AC121">
        <v>0</v>
      </c>
      <c r="AD121">
        <v>0</v>
      </c>
      <c r="AE121">
        <v>0</v>
      </c>
      <c r="AF121">
        <v>0</v>
      </c>
      <c r="AG121">
        <v>0</v>
      </c>
      <c r="AH121">
        <v>0</v>
      </c>
      <c r="AI121">
        <v>0</v>
      </c>
      <c r="AJ121">
        <v>0</v>
      </c>
      <c r="AK121">
        <v>0</v>
      </c>
      <c r="AL121">
        <v>0</v>
      </c>
      <c r="AM121">
        <v>0</v>
      </c>
      <c r="AN121">
        <v>0</v>
      </c>
      <c r="AO121">
        <v>0</v>
      </c>
      <c r="AP121">
        <v>0</v>
      </c>
      <c r="AQ121" t="s">
        <v>18</v>
      </c>
      <c r="AR121">
        <v>40</v>
      </c>
      <c r="AS121">
        <v>243</v>
      </c>
      <c r="AT121">
        <v>274</v>
      </c>
      <c r="AU121">
        <v>0.1131386861313869</v>
      </c>
      <c r="AV121" s="2">
        <v>44591</v>
      </c>
      <c r="AW121">
        <v>6.8749999999999992E-2</v>
      </c>
      <c r="AX121" t="s">
        <v>61</v>
      </c>
      <c r="AY121">
        <v>0.2307692307692307</v>
      </c>
      <c r="AZ121">
        <v>8.1967213114754106E-2</v>
      </c>
      <c r="BA121" t="s">
        <v>69</v>
      </c>
      <c r="BB121" t="s">
        <v>69</v>
      </c>
      <c r="BC121">
        <v>1</v>
      </c>
      <c r="BD121">
        <v>0</v>
      </c>
      <c r="BE121" t="s">
        <v>62</v>
      </c>
      <c r="BF121" t="s">
        <v>62</v>
      </c>
      <c r="BG121" t="s">
        <v>69</v>
      </c>
      <c r="BH121">
        <v>1</v>
      </c>
    </row>
    <row r="122" spans="1:60" x14ac:dyDescent="0.2">
      <c r="A122" t="s">
        <v>18</v>
      </c>
      <c r="B122">
        <v>6920</v>
      </c>
      <c r="C122" s="2">
        <v>44744</v>
      </c>
      <c r="D122" t="s">
        <v>90</v>
      </c>
      <c r="E122">
        <v>2022</v>
      </c>
      <c r="F122">
        <v>7</v>
      </c>
      <c r="G122">
        <v>3</v>
      </c>
      <c r="H122" t="s">
        <v>79</v>
      </c>
      <c r="I122">
        <v>0.3</v>
      </c>
      <c r="J122" t="s">
        <v>69</v>
      </c>
      <c r="K122" t="s">
        <v>208</v>
      </c>
      <c r="L122" s="6">
        <v>1</v>
      </c>
      <c r="M122" s="4">
        <v>1</v>
      </c>
      <c r="N122" s="4">
        <f t="shared" si="1"/>
        <v>0</v>
      </c>
      <c r="O122">
        <v>1</v>
      </c>
      <c r="P122">
        <v>1</v>
      </c>
      <c r="Q122">
        <v>1</v>
      </c>
      <c r="R122">
        <v>1</v>
      </c>
      <c r="S122">
        <v>0.62867522200000003</v>
      </c>
      <c r="T122">
        <v>1</v>
      </c>
      <c r="U122">
        <v>0</v>
      </c>
      <c r="V122">
        <v>1</v>
      </c>
      <c r="W122">
        <v>0</v>
      </c>
      <c r="X122">
        <v>0</v>
      </c>
      <c r="Y122">
        <v>0</v>
      </c>
      <c r="Z122">
        <v>0</v>
      </c>
      <c r="AA122">
        <v>0</v>
      </c>
      <c r="AB122">
        <v>0</v>
      </c>
      <c r="AC122">
        <v>0</v>
      </c>
      <c r="AD122">
        <v>0</v>
      </c>
      <c r="AE122">
        <v>0</v>
      </c>
      <c r="AF122">
        <v>0</v>
      </c>
      <c r="AG122">
        <v>0</v>
      </c>
      <c r="AH122">
        <v>0</v>
      </c>
      <c r="AI122">
        <v>0</v>
      </c>
      <c r="AJ122">
        <v>0</v>
      </c>
      <c r="AK122">
        <v>0</v>
      </c>
      <c r="AL122">
        <v>0</v>
      </c>
      <c r="AM122">
        <v>0</v>
      </c>
      <c r="AN122">
        <v>0</v>
      </c>
      <c r="AO122">
        <v>0</v>
      </c>
      <c r="AP122">
        <v>0</v>
      </c>
      <c r="AQ122" t="s">
        <v>18</v>
      </c>
      <c r="AR122">
        <v>24</v>
      </c>
      <c r="AS122">
        <v>92</v>
      </c>
      <c r="AT122">
        <v>274</v>
      </c>
      <c r="AU122">
        <v>0.66423357664233573</v>
      </c>
      <c r="AV122" s="2">
        <v>44738</v>
      </c>
      <c r="AW122">
        <v>4.0723981900452483E-2</v>
      </c>
      <c r="AX122" t="s">
        <v>61</v>
      </c>
      <c r="AY122">
        <v>4.1666666666666671E-2</v>
      </c>
      <c r="AZ122">
        <v>1.714285714285704E-2</v>
      </c>
      <c r="BA122" t="s">
        <v>69</v>
      </c>
      <c r="BB122" t="s">
        <v>69</v>
      </c>
      <c r="BC122">
        <v>1</v>
      </c>
      <c r="BD122">
        <v>0</v>
      </c>
      <c r="BE122" t="s">
        <v>81</v>
      </c>
      <c r="BF122" t="s">
        <v>62</v>
      </c>
      <c r="BG122" t="s">
        <v>69</v>
      </c>
      <c r="BH122">
        <v>1</v>
      </c>
    </row>
    <row r="123" spans="1:60" x14ac:dyDescent="0.2">
      <c r="A123" t="s">
        <v>18</v>
      </c>
      <c r="B123">
        <v>16268</v>
      </c>
      <c r="C123" s="2">
        <v>44593</v>
      </c>
      <c r="D123" t="s">
        <v>57</v>
      </c>
      <c r="E123">
        <v>2022</v>
      </c>
      <c r="F123">
        <v>2</v>
      </c>
      <c r="G123">
        <v>1</v>
      </c>
      <c r="H123" t="s">
        <v>115</v>
      </c>
      <c r="I123">
        <v>0.13</v>
      </c>
      <c r="J123" t="s">
        <v>69</v>
      </c>
      <c r="K123" t="s">
        <v>209</v>
      </c>
      <c r="L123" s="6">
        <v>1</v>
      </c>
      <c r="M123" s="4">
        <v>1</v>
      </c>
      <c r="N123" s="4">
        <f t="shared" si="1"/>
        <v>0</v>
      </c>
      <c r="O123">
        <v>1</v>
      </c>
      <c r="P123">
        <v>1</v>
      </c>
      <c r="Q123">
        <v>1</v>
      </c>
      <c r="R123">
        <v>1</v>
      </c>
      <c r="S123">
        <v>0.85063201200000005</v>
      </c>
      <c r="T123">
        <v>1</v>
      </c>
      <c r="U123">
        <v>0</v>
      </c>
      <c r="V123">
        <v>1</v>
      </c>
      <c r="W123">
        <v>0</v>
      </c>
      <c r="X123">
        <v>0</v>
      </c>
      <c r="Y123">
        <v>0</v>
      </c>
      <c r="Z123">
        <v>0</v>
      </c>
      <c r="AA123">
        <v>0</v>
      </c>
      <c r="AB123">
        <v>0</v>
      </c>
      <c r="AC123">
        <v>0</v>
      </c>
      <c r="AD123">
        <v>0</v>
      </c>
      <c r="AE123">
        <v>0</v>
      </c>
      <c r="AF123">
        <v>0</v>
      </c>
      <c r="AG123">
        <v>0</v>
      </c>
      <c r="AH123">
        <v>0</v>
      </c>
      <c r="AI123">
        <v>0</v>
      </c>
      <c r="AJ123">
        <v>0</v>
      </c>
      <c r="AK123">
        <v>0</v>
      </c>
      <c r="AL123">
        <v>0</v>
      </c>
      <c r="AM123">
        <v>0</v>
      </c>
      <c r="AN123">
        <v>0</v>
      </c>
      <c r="AO123">
        <v>0</v>
      </c>
      <c r="AP123">
        <v>0</v>
      </c>
      <c r="AQ123" t="s">
        <v>18</v>
      </c>
      <c r="AR123">
        <v>43</v>
      </c>
      <c r="AS123">
        <v>243</v>
      </c>
      <c r="AT123">
        <v>274</v>
      </c>
      <c r="AU123">
        <v>0.1131386861313869</v>
      </c>
      <c r="AV123" s="2">
        <v>44591</v>
      </c>
      <c r="AW123">
        <v>6.8749999999999992E-2</v>
      </c>
      <c r="AX123" t="s">
        <v>61</v>
      </c>
      <c r="AY123">
        <v>0.2307692307692307</v>
      </c>
      <c r="AZ123">
        <v>8.1967213114754106E-2</v>
      </c>
      <c r="BA123" t="s">
        <v>69</v>
      </c>
      <c r="BB123" t="s">
        <v>69</v>
      </c>
      <c r="BC123">
        <v>1</v>
      </c>
      <c r="BD123">
        <v>0</v>
      </c>
      <c r="BE123" t="s">
        <v>62</v>
      </c>
      <c r="BF123" t="s">
        <v>62</v>
      </c>
      <c r="BG123" t="s">
        <v>69</v>
      </c>
      <c r="BH123">
        <v>1</v>
      </c>
    </row>
    <row r="124" spans="1:60" x14ac:dyDescent="0.2">
      <c r="A124" t="s">
        <v>18</v>
      </c>
      <c r="B124">
        <v>23788</v>
      </c>
      <c r="C124" s="2">
        <v>44657</v>
      </c>
      <c r="D124" t="s">
        <v>84</v>
      </c>
      <c r="E124">
        <v>2022</v>
      </c>
      <c r="F124">
        <v>4</v>
      </c>
      <c r="G124">
        <v>2</v>
      </c>
      <c r="H124" t="s">
        <v>82</v>
      </c>
      <c r="I124">
        <v>0.05</v>
      </c>
      <c r="J124" t="s">
        <v>69</v>
      </c>
      <c r="K124" t="s">
        <v>210</v>
      </c>
      <c r="L124" s="6">
        <v>1</v>
      </c>
      <c r="M124" s="4">
        <v>1</v>
      </c>
      <c r="N124" s="4">
        <f t="shared" si="1"/>
        <v>0</v>
      </c>
      <c r="O124">
        <v>1</v>
      </c>
      <c r="P124">
        <v>1</v>
      </c>
      <c r="Q124">
        <v>1</v>
      </c>
      <c r="R124">
        <v>1</v>
      </c>
      <c r="S124">
        <v>0.79554188299999995</v>
      </c>
      <c r="T124">
        <v>1</v>
      </c>
      <c r="U124">
        <v>0</v>
      </c>
      <c r="V124">
        <v>1</v>
      </c>
      <c r="W124">
        <v>0</v>
      </c>
      <c r="X124">
        <v>0</v>
      </c>
      <c r="Y124">
        <v>0</v>
      </c>
      <c r="Z124">
        <v>0</v>
      </c>
      <c r="AA124">
        <v>0</v>
      </c>
      <c r="AB124">
        <v>0</v>
      </c>
      <c r="AC124">
        <v>0</v>
      </c>
      <c r="AD124">
        <v>0</v>
      </c>
      <c r="AE124">
        <v>0</v>
      </c>
      <c r="AF124">
        <v>0</v>
      </c>
      <c r="AG124">
        <v>0</v>
      </c>
      <c r="AH124">
        <v>0</v>
      </c>
      <c r="AI124">
        <v>0</v>
      </c>
      <c r="AJ124">
        <v>0</v>
      </c>
      <c r="AK124">
        <v>0</v>
      </c>
      <c r="AL124">
        <v>0</v>
      </c>
      <c r="AM124">
        <v>0</v>
      </c>
      <c r="AN124">
        <v>0</v>
      </c>
      <c r="AO124">
        <v>0</v>
      </c>
      <c r="AP124">
        <v>0</v>
      </c>
      <c r="AQ124" t="s">
        <v>18</v>
      </c>
      <c r="AR124">
        <v>38</v>
      </c>
      <c r="AS124">
        <v>179</v>
      </c>
      <c r="AT124">
        <v>274</v>
      </c>
      <c r="AU124">
        <v>0.34671532846715331</v>
      </c>
      <c r="AV124" s="2">
        <v>44654</v>
      </c>
      <c r="AW124">
        <v>5.1813471502590643E-2</v>
      </c>
      <c r="AX124" t="s">
        <v>61</v>
      </c>
      <c r="AY124">
        <v>0.25</v>
      </c>
      <c r="AZ124">
        <v>0.1647727272727274</v>
      </c>
      <c r="BA124" t="s">
        <v>69</v>
      </c>
      <c r="BB124" t="s">
        <v>69</v>
      </c>
      <c r="BC124">
        <v>1</v>
      </c>
      <c r="BD124">
        <v>0</v>
      </c>
      <c r="BE124" t="s">
        <v>81</v>
      </c>
      <c r="BF124" t="s">
        <v>62</v>
      </c>
      <c r="BG124" t="s">
        <v>69</v>
      </c>
      <c r="BH124">
        <v>1</v>
      </c>
    </row>
    <row r="125" spans="1:60" x14ac:dyDescent="0.2">
      <c r="A125" t="s">
        <v>18</v>
      </c>
      <c r="B125">
        <v>23770</v>
      </c>
      <c r="C125" s="2">
        <v>44662</v>
      </c>
      <c r="D125" t="s">
        <v>84</v>
      </c>
      <c r="E125">
        <v>2022</v>
      </c>
      <c r="F125">
        <v>4</v>
      </c>
      <c r="G125">
        <v>2</v>
      </c>
      <c r="H125" t="s">
        <v>82</v>
      </c>
      <c r="I125">
        <v>0.05</v>
      </c>
      <c r="J125" t="s">
        <v>69</v>
      </c>
      <c r="K125" t="s">
        <v>211</v>
      </c>
      <c r="L125" s="6">
        <v>1</v>
      </c>
      <c r="M125" s="4">
        <v>1</v>
      </c>
      <c r="N125" s="4">
        <f t="shared" si="1"/>
        <v>0</v>
      </c>
      <c r="O125">
        <v>1</v>
      </c>
      <c r="P125">
        <v>1</v>
      </c>
      <c r="Q125">
        <v>1</v>
      </c>
      <c r="R125">
        <v>1</v>
      </c>
      <c r="S125">
        <v>0.54216235899999998</v>
      </c>
      <c r="T125">
        <v>1</v>
      </c>
      <c r="U125">
        <v>0</v>
      </c>
      <c r="V125">
        <v>1</v>
      </c>
      <c r="W125">
        <v>0</v>
      </c>
      <c r="X125">
        <v>0</v>
      </c>
      <c r="Y125">
        <v>0</v>
      </c>
      <c r="Z125">
        <v>0</v>
      </c>
      <c r="AA125">
        <v>0</v>
      </c>
      <c r="AB125">
        <v>0</v>
      </c>
      <c r="AC125">
        <v>0</v>
      </c>
      <c r="AD125">
        <v>0</v>
      </c>
      <c r="AE125">
        <v>0</v>
      </c>
      <c r="AF125">
        <v>0</v>
      </c>
      <c r="AG125">
        <v>0</v>
      </c>
      <c r="AH125">
        <v>0</v>
      </c>
      <c r="AI125">
        <v>0</v>
      </c>
      <c r="AJ125">
        <v>0</v>
      </c>
      <c r="AK125">
        <v>0</v>
      </c>
      <c r="AL125">
        <v>0</v>
      </c>
      <c r="AM125">
        <v>0</v>
      </c>
      <c r="AN125">
        <v>0</v>
      </c>
      <c r="AO125">
        <v>0</v>
      </c>
      <c r="AP125">
        <v>0</v>
      </c>
      <c r="AQ125" t="s">
        <v>18</v>
      </c>
      <c r="AR125">
        <v>41</v>
      </c>
      <c r="AS125">
        <v>174</v>
      </c>
      <c r="AT125">
        <v>274</v>
      </c>
      <c r="AU125">
        <v>0.36496350364963498</v>
      </c>
      <c r="AV125" s="2">
        <v>44661</v>
      </c>
      <c r="AW125">
        <v>4.5454545454545491E-2</v>
      </c>
      <c r="AX125" t="s">
        <v>61</v>
      </c>
      <c r="AY125">
        <v>0.36363636363636359</v>
      </c>
      <c r="AZ125">
        <v>0.1647727272727274</v>
      </c>
      <c r="BA125" t="s">
        <v>69</v>
      </c>
      <c r="BB125" t="s">
        <v>69</v>
      </c>
      <c r="BC125">
        <v>1</v>
      </c>
      <c r="BD125">
        <v>0</v>
      </c>
      <c r="BE125" t="s">
        <v>81</v>
      </c>
      <c r="BF125" t="s">
        <v>62</v>
      </c>
      <c r="BG125" t="s">
        <v>69</v>
      </c>
      <c r="BH125">
        <v>1</v>
      </c>
    </row>
    <row r="126" spans="1:60" x14ac:dyDescent="0.2">
      <c r="A126" t="s">
        <v>18</v>
      </c>
      <c r="B126">
        <v>16203</v>
      </c>
      <c r="C126" s="2">
        <v>44707</v>
      </c>
      <c r="D126" t="s">
        <v>78</v>
      </c>
      <c r="E126">
        <v>2022</v>
      </c>
      <c r="F126">
        <v>5</v>
      </c>
      <c r="G126">
        <v>2</v>
      </c>
      <c r="H126" t="s">
        <v>115</v>
      </c>
      <c r="I126">
        <v>0.13</v>
      </c>
      <c r="J126" t="s">
        <v>69</v>
      </c>
      <c r="K126" t="s">
        <v>212</v>
      </c>
      <c r="L126" s="6">
        <v>1</v>
      </c>
      <c r="M126" s="4">
        <v>1</v>
      </c>
      <c r="N126" s="4">
        <f t="shared" si="1"/>
        <v>0</v>
      </c>
      <c r="O126">
        <v>1</v>
      </c>
      <c r="P126">
        <v>1</v>
      </c>
      <c r="Q126">
        <v>1</v>
      </c>
      <c r="R126">
        <v>1</v>
      </c>
      <c r="S126">
        <v>0.84010517600000001</v>
      </c>
      <c r="T126">
        <v>1</v>
      </c>
      <c r="U126">
        <v>0</v>
      </c>
      <c r="V126">
        <v>1</v>
      </c>
      <c r="W126">
        <v>0</v>
      </c>
      <c r="X126">
        <v>0</v>
      </c>
      <c r="Y126">
        <v>0</v>
      </c>
      <c r="Z126">
        <v>0</v>
      </c>
      <c r="AA126">
        <v>0</v>
      </c>
      <c r="AB126">
        <v>0</v>
      </c>
      <c r="AC126">
        <v>0</v>
      </c>
      <c r="AD126">
        <v>0</v>
      </c>
      <c r="AE126">
        <v>0</v>
      </c>
      <c r="AF126">
        <v>0</v>
      </c>
      <c r="AG126">
        <v>0</v>
      </c>
      <c r="AH126">
        <v>0</v>
      </c>
      <c r="AI126">
        <v>0</v>
      </c>
      <c r="AJ126">
        <v>0</v>
      </c>
      <c r="AK126">
        <v>0</v>
      </c>
      <c r="AL126">
        <v>0</v>
      </c>
      <c r="AM126">
        <v>0</v>
      </c>
      <c r="AN126">
        <v>0</v>
      </c>
      <c r="AO126">
        <v>0</v>
      </c>
      <c r="AP126">
        <v>0</v>
      </c>
      <c r="AQ126" t="s">
        <v>18</v>
      </c>
      <c r="AR126">
        <v>55</v>
      </c>
      <c r="AS126">
        <v>129</v>
      </c>
      <c r="AT126">
        <v>274</v>
      </c>
      <c r="AU126">
        <v>0.52919708029197077</v>
      </c>
      <c r="AV126" s="2">
        <v>44703</v>
      </c>
      <c r="AW126">
        <v>4.2944785276073517E-2</v>
      </c>
      <c r="AX126" t="s">
        <v>61</v>
      </c>
      <c r="AY126">
        <v>0.66666666666666663</v>
      </c>
      <c r="AZ126">
        <v>8.1967213114754106E-2</v>
      </c>
      <c r="BA126" t="s">
        <v>69</v>
      </c>
      <c r="BB126" t="s">
        <v>69</v>
      </c>
      <c r="BC126">
        <v>1</v>
      </c>
      <c r="BD126">
        <v>0</v>
      </c>
      <c r="BE126" t="s">
        <v>81</v>
      </c>
      <c r="BF126" t="s">
        <v>62</v>
      </c>
      <c r="BG126" t="s">
        <v>69</v>
      </c>
      <c r="BH126">
        <v>1</v>
      </c>
    </row>
    <row r="127" spans="1:60" x14ac:dyDescent="0.2">
      <c r="A127" t="s">
        <v>18</v>
      </c>
      <c r="B127">
        <v>5346</v>
      </c>
      <c r="C127" s="2">
        <v>44885</v>
      </c>
      <c r="D127" t="s">
        <v>182</v>
      </c>
      <c r="E127">
        <v>2022</v>
      </c>
      <c r="F127">
        <v>11</v>
      </c>
      <c r="G127">
        <v>4</v>
      </c>
      <c r="H127" t="s">
        <v>79</v>
      </c>
      <c r="I127">
        <v>0.3</v>
      </c>
      <c r="J127" t="s">
        <v>69</v>
      </c>
      <c r="K127" t="s">
        <v>213</v>
      </c>
      <c r="L127" s="6">
        <v>1</v>
      </c>
      <c r="M127" s="4">
        <v>1</v>
      </c>
      <c r="N127" s="4">
        <f t="shared" si="1"/>
        <v>0</v>
      </c>
      <c r="O127">
        <v>1</v>
      </c>
      <c r="P127">
        <v>1</v>
      </c>
      <c r="Q127">
        <v>1</v>
      </c>
      <c r="R127">
        <v>1</v>
      </c>
      <c r="S127">
        <v>0.85358756800000002</v>
      </c>
      <c r="T127">
        <v>1</v>
      </c>
      <c r="U127">
        <v>0</v>
      </c>
      <c r="V127">
        <v>1</v>
      </c>
      <c r="W127">
        <v>0</v>
      </c>
      <c r="X127">
        <v>0</v>
      </c>
      <c r="Y127">
        <v>0</v>
      </c>
      <c r="Z127">
        <v>0</v>
      </c>
      <c r="AA127">
        <v>0</v>
      </c>
      <c r="AB127">
        <v>0</v>
      </c>
      <c r="AC127">
        <v>0</v>
      </c>
      <c r="AD127">
        <v>0</v>
      </c>
      <c r="AE127">
        <v>0</v>
      </c>
      <c r="AF127">
        <v>0</v>
      </c>
      <c r="AG127">
        <v>0</v>
      </c>
      <c r="AH127">
        <v>0</v>
      </c>
      <c r="AI127">
        <v>0</v>
      </c>
      <c r="AJ127">
        <v>0</v>
      </c>
      <c r="AK127">
        <v>0</v>
      </c>
      <c r="AL127">
        <v>0</v>
      </c>
      <c r="AM127">
        <v>0</v>
      </c>
      <c r="AN127">
        <v>0</v>
      </c>
      <c r="AO127">
        <v>0</v>
      </c>
      <c r="AP127">
        <v>0</v>
      </c>
      <c r="AQ127" t="s">
        <v>18</v>
      </c>
      <c r="AR127">
        <v>44</v>
      </c>
      <c r="AT127">
        <v>274</v>
      </c>
      <c r="AV127" s="2">
        <v>44885</v>
      </c>
      <c r="AW127">
        <v>4.7169811320754693E-2</v>
      </c>
      <c r="AX127" t="s">
        <v>61</v>
      </c>
      <c r="AY127">
        <v>5.8823529411764698E-2</v>
      </c>
      <c r="AZ127">
        <v>1.714285714285704E-2</v>
      </c>
      <c r="BA127" t="s">
        <v>69</v>
      </c>
      <c r="BB127" t="s">
        <v>69</v>
      </c>
      <c r="BC127">
        <v>1</v>
      </c>
      <c r="BD127">
        <v>0</v>
      </c>
      <c r="BE127" t="s">
        <v>62</v>
      </c>
      <c r="BF127" t="s">
        <v>62</v>
      </c>
      <c r="BG127" t="s">
        <v>69</v>
      </c>
      <c r="BH127">
        <v>1</v>
      </c>
    </row>
    <row r="128" spans="1:60" x14ac:dyDescent="0.2">
      <c r="A128" t="s">
        <v>18</v>
      </c>
      <c r="B128">
        <v>15957</v>
      </c>
      <c r="C128" s="2">
        <v>44887</v>
      </c>
      <c r="D128" t="s">
        <v>182</v>
      </c>
      <c r="E128">
        <v>2022</v>
      </c>
      <c r="F128">
        <v>11</v>
      </c>
      <c r="G128">
        <v>4</v>
      </c>
      <c r="H128" t="s">
        <v>115</v>
      </c>
      <c r="I128">
        <v>0.13</v>
      </c>
      <c r="J128" t="s">
        <v>69</v>
      </c>
      <c r="K128" t="s">
        <v>214</v>
      </c>
      <c r="L128" s="6">
        <v>1</v>
      </c>
      <c r="M128" s="4">
        <v>1</v>
      </c>
      <c r="N128" s="4">
        <f t="shared" si="1"/>
        <v>0</v>
      </c>
      <c r="O128">
        <v>1</v>
      </c>
      <c r="P128">
        <v>1</v>
      </c>
      <c r="Q128">
        <v>1</v>
      </c>
      <c r="R128">
        <v>1</v>
      </c>
      <c r="S128">
        <v>0.85635399800000001</v>
      </c>
      <c r="T128">
        <v>1</v>
      </c>
      <c r="U128">
        <v>0</v>
      </c>
      <c r="V128">
        <v>1</v>
      </c>
      <c r="W128">
        <v>0</v>
      </c>
      <c r="X128">
        <v>0</v>
      </c>
      <c r="Y128">
        <v>0</v>
      </c>
      <c r="Z128">
        <v>0</v>
      </c>
      <c r="AA128">
        <v>0</v>
      </c>
      <c r="AB128">
        <v>0</v>
      </c>
      <c r="AC128">
        <v>0</v>
      </c>
      <c r="AD128">
        <v>0</v>
      </c>
      <c r="AE128">
        <v>0</v>
      </c>
      <c r="AF128">
        <v>0</v>
      </c>
      <c r="AG128">
        <v>0</v>
      </c>
      <c r="AH128">
        <v>0</v>
      </c>
      <c r="AI128">
        <v>0</v>
      </c>
      <c r="AJ128">
        <v>0</v>
      </c>
      <c r="AK128">
        <v>0</v>
      </c>
      <c r="AL128">
        <v>0</v>
      </c>
      <c r="AM128">
        <v>0</v>
      </c>
      <c r="AN128">
        <v>0</v>
      </c>
      <c r="AO128">
        <v>0</v>
      </c>
      <c r="AP128">
        <v>0</v>
      </c>
      <c r="AQ128" t="s">
        <v>18</v>
      </c>
      <c r="AR128">
        <v>44</v>
      </c>
      <c r="AT128">
        <v>274</v>
      </c>
      <c r="AV128" s="2">
        <v>44885</v>
      </c>
      <c r="AW128">
        <v>4.7169811320754693E-2</v>
      </c>
      <c r="AX128" t="s">
        <v>61</v>
      </c>
      <c r="AY128">
        <v>0.1428571428571429</v>
      </c>
      <c r="AZ128">
        <v>8.1967213114754106E-2</v>
      </c>
      <c r="BA128" t="s">
        <v>69</v>
      </c>
      <c r="BB128" t="s">
        <v>69</v>
      </c>
      <c r="BC128">
        <v>1</v>
      </c>
      <c r="BD128">
        <v>0</v>
      </c>
      <c r="BE128" t="s">
        <v>62</v>
      </c>
      <c r="BF128" t="s">
        <v>62</v>
      </c>
      <c r="BG128" t="s">
        <v>69</v>
      </c>
      <c r="BH128">
        <v>1</v>
      </c>
    </row>
    <row r="129" spans="1:60" x14ac:dyDescent="0.2">
      <c r="A129" t="s">
        <v>18</v>
      </c>
      <c r="B129">
        <v>5151</v>
      </c>
      <c r="C129" s="2">
        <v>44927</v>
      </c>
      <c r="D129" t="s">
        <v>104</v>
      </c>
      <c r="E129">
        <v>2023</v>
      </c>
      <c r="F129">
        <v>1</v>
      </c>
      <c r="G129">
        <v>1</v>
      </c>
      <c r="H129" t="s">
        <v>79</v>
      </c>
      <c r="I129">
        <v>0.3</v>
      </c>
      <c r="J129" t="s">
        <v>69</v>
      </c>
      <c r="K129" t="s">
        <v>215</v>
      </c>
      <c r="L129" s="6">
        <v>1</v>
      </c>
      <c r="M129" s="4">
        <v>1</v>
      </c>
      <c r="N129" s="4">
        <f t="shared" si="1"/>
        <v>0</v>
      </c>
      <c r="O129">
        <v>1</v>
      </c>
      <c r="P129">
        <v>1</v>
      </c>
      <c r="Q129">
        <v>1</v>
      </c>
      <c r="R129">
        <v>1</v>
      </c>
      <c r="S129">
        <v>0.54319798900000005</v>
      </c>
      <c r="T129">
        <v>1</v>
      </c>
      <c r="U129">
        <v>0</v>
      </c>
      <c r="V129">
        <v>1</v>
      </c>
      <c r="W129">
        <v>0</v>
      </c>
      <c r="X129">
        <v>0</v>
      </c>
      <c r="Y129">
        <v>0</v>
      </c>
      <c r="Z129">
        <v>0</v>
      </c>
      <c r="AA129">
        <v>0</v>
      </c>
      <c r="AB129">
        <v>0</v>
      </c>
      <c r="AC129">
        <v>0</v>
      </c>
      <c r="AD129">
        <v>0</v>
      </c>
      <c r="AE129">
        <v>0</v>
      </c>
      <c r="AF129">
        <v>0</v>
      </c>
      <c r="AG129">
        <v>0</v>
      </c>
      <c r="AH129">
        <v>0</v>
      </c>
      <c r="AI129">
        <v>0</v>
      </c>
      <c r="AJ129">
        <v>0</v>
      </c>
      <c r="AK129">
        <v>0</v>
      </c>
      <c r="AL129">
        <v>0</v>
      </c>
      <c r="AM129">
        <v>0</v>
      </c>
      <c r="AN129">
        <v>0</v>
      </c>
      <c r="AO129">
        <v>0</v>
      </c>
      <c r="AP129">
        <v>0</v>
      </c>
      <c r="AQ129" t="s">
        <v>18</v>
      </c>
      <c r="AR129">
        <v>41</v>
      </c>
      <c r="AT129" t="s">
        <v>106</v>
      </c>
      <c r="AV129" s="2">
        <v>44927</v>
      </c>
      <c r="AW129">
        <v>6.5789473684210479E-3</v>
      </c>
      <c r="AX129" t="s">
        <v>61</v>
      </c>
      <c r="AY129">
        <v>1.020408163265305E-2</v>
      </c>
      <c r="AZ129">
        <v>1.714285714285704E-2</v>
      </c>
      <c r="BA129" t="s">
        <v>69</v>
      </c>
      <c r="BB129" t="s">
        <v>69</v>
      </c>
      <c r="BC129">
        <v>1</v>
      </c>
      <c r="BD129">
        <v>0</v>
      </c>
      <c r="BE129" t="s">
        <v>62</v>
      </c>
      <c r="BF129" t="s">
        <v>62</v>
      </c>
      <c r="BG129" t="s">
        <v>69</v>
      </c>
      <c r="BH129">
        <v>1</v>
      </c>
    </row>
    <row r="130" spans="1:60" x14ac:dyDescent="0.2">
      <c r="A130" t="s">
        <v>18</v>
      </c>
      <c r="B130">
        <v>23911</v>
      </c>
      <c r="C130" s="2">
        <v>44601</v>
      </c>
      <c r="D130" t="s">
        <v>57</v>
      </c>
      <c r="E130">
        <v>2022</v>
      </c>
      <c r="F130">
        <v>2</v>
      </c>
      <c r="G130">
        <v>1</v>
      </c>
      <c r="H130" t="s">
        <v>82</v>
      </c>
      <c r="I130">
        <v>0.05</v>
      </c>
      <c r="J130" t="s">
        <v>69</v>
      </c>
      <c r="K130" t="s">
        <v>216</v>
      </c>
      <c r="L130" s="6">
        <v>1</v>
      </c>
      <c r="M130" s="4">
        <v>1</v>
      </c>
      <c r="N130" s="4">
        <f t="shared" si="1"/>
        <v>0</v>
      </c>
      <c r="O130">
        <v>1</v>
      </c>
      <c r="P130">
        <v>1</v>
      </c>
      <c r="Q130">
        <v>1</v>
      </c>
      <c r="R130">
        <v>1</v>
      </c>
      <c r="S130">
        <v>0.84004914799999997</v>
      </c>
      <c r="T130">
        <v>1</v>
      </c>
      <c r="U130">
        <v>0</v>
      </c>
      <c r="V130">
        <v>1</v>
      </c>
      <c r="W130">
        <v>0</v>
      </c>
      <c r="X130">
        <v>0</v>
      </c>
      <c r="Y130">
        <v>0</v>
      </c>
      <c r="Z130">
        <v>0</v>
      </c>
      <c r="AA130">
        <v>0</v>
      </c>
      <c r="AB130">
        <v>0</v>
      </c>
      <c r="AC130">
        <v>0</v>
      </c>
      <c r="AD130">
        <v>0</v>
      </c>
      <c r="AE130">
        <v>0</v>
      </c>
      <c r="AF130">
        <v>0</v>
      </c>
      <c r="AG130">
        <v>0</v>
      </c>
      <c r="AH130">
        <v>0</v>
      </c>
      <c r="AI130">
        <v>0</v>
      </c>
      <c r="AJ130">
        <v>0</v>
      </c>
      <c r="AK130">
        <v>0</v>
      </c>
      <c r="AL130">
        <v>0</v>
      </c>
      <c r="AM130">
        <v>0</v>
      </c>
      <c r="AN130">
        <v>0</v>
      </c>
      <c r="AO130">
        <v>0</v>
      </c>
      <c r="AP130">
        <v>0</v>
      </c>
      <c r="AQ130" t="s">
        <v>18</v>
      </c>
      <c r="AR130">
        <v>48</v>
      </c>
      <c r="AS130">
        <v>235</v>
      </c>
      <c r="AT130">
        <v>274</v>
      </c>
      <c r="AU130">
        <v>0.14233576642335771</v>
      </c>
      <c r="AV130" s="2">
        <v>44598</v>
      </c>
      <c r="AW130">
        <v>5.5555555555555587E-2</v>
      </c>
      <c r="AX130" t="s">
        <v>61</v>
      </c>
      <c r="AY130">
        <v>0.21739130434782611</v>
      </c>
      <c r="AZ130">
        <v>0.1647727272727274</v>
      </c>
      <c r="BA130" t="s">
        <v>69</v>
      </c>
      <c r="BB130" t="s">
        <v>69</v>
      </c>
      <c r="BC130">
        <v>1</v>
      </c>
      <c r="BD130">
        <v>0</v>
      </c>
      <c r="BE130" t="s">
        <v>62</v>
      </c>
      <c r="BF130" t="s">
        <v>62</v>
      </c>
      <c r="BG130" t="s">
        <v>69</v>
      </c>
      <c r="BH130">
        <v>1</v>
      </c>
    </row>
  </sheetData>
  <autoFilter ref="A1:BH130" xr:uid="{00000000-0001-0000-0000-000000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Gustavo Venturelli</cp:lastModifiedBy>
  <dcterms:created xsi:type="dcterms:W3CDTF">2026-05-23T22:58:46Z</dcterms:created>
  <dcterms:modified xsi:type="dcterms:W3CDTF">2026-05-31T04:47:45Z</dcterms:modified>
</cp:coreProperties>
</file>